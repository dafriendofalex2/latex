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7373f2625e4457" /></Relationships>
</file>

<file path=xl/workbook.xml><?xml version="1.0" encoding="utf-8"?>
<x:workbook xmlns:x="http://schemas.openxmlformats.org/spreadsheetml/2006/main">
  <x:sheets>
    <x:sheet xmlns:r="http://schemas.openxmlformats.org/officeDocument/2006/relationships" name="Executive Summary" sheetId="1" r:id="R05ff62926b2046ba"/>
    <x:sheet xmlns:r="http://schemas.openxmlformats.org/officeDocument/2006/relationships" name="Active Buybacks" sheetId="2" r:id="R49397c0c30f6480c"/>
    <x:sheet xmlns:r="http://schemas.openxmlformats.org/officeDocument/2006/relationships" name="Program Detail" sheetId="3" r:id="Rde4e94a6cb3f458e"/>
    <x:sheet xmlns:r="http://schemas.openxmlformats.org/officeDocument/2006/relationships" name="All Firms" sheetId="4" r:id="Ra20c5e7667e84737"/>
    <x:sheet xmlns:r="http://schemas.openxmlformats.org/officeDocument/2006/relationships" name="Source Log" sheetId="5" r:id="R45043caae36648cb"/>
    <x:sheet xmlns:r="http://schemas.openxmlformats.org/officeDocument/2006/relationships" name="Methodology &amp; FX" sheetId="6" r:id="R2362361437a04ae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000"/>
    <x:numFmt numFmtId="202" formatCode="#,##0.0;[Red](#,##0.0);-"/>
    <x:numFmt numFmtId="203" formatCode="#,##0.000;[Red](#,##0.000);-"/>
    <x:numFmt numFmtId="204" formatCode="0.0%;[Red](0.0%);-"/>
    <x:numFmt numFmtId="205" formatCode="#,##0;[Red](#,##0);-"/>
  </x:numFmts>
  <x:fonts count="11">
    <x:font>
      <x:sz val="11"/>
      <x:name val="Carlito"/>
    </x:font>
    <x:font>
      <x:b/>
      <x:sz val="16"/>
      <x:color rgb="FFFFFFFF"/>
      <x:name val="Carlito"/>
    </x:font>
    <x:font>
      <x:b/>
      <x:sz val="9"/>
      <x:color rgb="FFFFFFFF"/>
      <x:name val="Carlito"/>
    </x:font>
    <x:font>
      <x:sz val="11"/>
      <x:color rgb="FF0000FF"/>
      <x:name val="Carlito"/>
    </x:font>
    <x:font>
      <x:b/>
      <x:sz val="11"/>
      <x:color rgb="FFFFFFFF"/>
      <x:name val="Carlito"/>
    </x:font>
    <x:font>
      <x:sz val="9"/>
      <x:name val="Carlito"/>
    </x:font>
    <x:font>
      <x:i/>
      <x:sz val="9"/>
      <x:color rgb="FF555555"/>
      <x:name val="Carlito"/>
    </x:font>
    <x:font>
      <x:sz val="9"/>
      <x:color rgb="FF0000FF"/>
      <x:name val="Carlito"/>
    </x:font>
    <x:font>
      <x:sz val="9"/>
      <x:color rgb="FF000000"/>
      <x:name val="Carlito"/>
    </x:font>
    <x:font>
      <x:b/>
      <x:sz val="12"/>
      <x:color rgb="FF008000"/>
      <x:name val="Carlito"/>
    </x:font>
    <x:font>
      <x:b/>
      <x:sz val="9"/>
      <x:name val="Carlito"/>
    </x:font>
  </x:fonts>
  <x:fills count="6">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0F6B78"/>
      </x:patternFill>
    </x:fill>
    <x:fill>
      <x:patternFill patternType="solid">
        <x:fgColor rgb="FFC65911"/>
      </x:patternFill>
    </x:fill>
  </x:fills>
  <x:borders count="2">
    <x:border/>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3" fillId="0" borderId="0" xfId="0" applyNumberFormat="1" applyFont="1" applyFill="1" applyBorder="1"/>
    <x:xf numFmtId="201" fontId="3" fillId="0"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vertic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horizontal="center"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1" xfId="0" applyNumberFormat="1" applyFont="1" applyFill="1" applyBorder="1"/>
    <x:xf numFmtId="0" fontId="5" fillId="0" borderId="1" xfId="0" applyNumberFormat="1" applyFont="1" applyFill="1" applyBorder="1" applyAlignment="1">
      <x:alignment vertical="top"/>
    </x:xf>
    <x:xf numFmtId="200" fontId="5" fillId="0" borderId="0" xfId="0" applyNumberFormat="1" applyFont="1" applyFill="1" applyBorder="1" applyAlignment="1">
      <x:alignment vertical="top"/>
    </x:xf>
    <x:xf numFmtId="200" fontId="5" fillId="0" borderId="1" xfId="0" applyNumberFormat="1" applyFont="1" applyFill="1" applyBorder="1" applyAlignment="1">
      <x:alignment vertical="top"/>
    </x:xf>
    <x:xf numFmtId="202" fontId="5" fillId="0" borderId="0" xfId="0" applyNumberFormat="1" applyFont="1" applyFill="1" applyBorder="1" applyAlignment="1">
      <x:alignment vertical="top"/>
    </x:xf>
    <x:xf numFmtId="202" fontId="5" fillId="0" borderId="1" xfId="0" applyNumberFormat="1" applyFont="1" applyFill="1" applyBorder="1" applyAlignment="1">
      <x:alignment vertical="top"/>
    </x:xf>
    <x:xf numFmtId="201" fontId="5" fillId="0" borderId="0" xfId="0" applyNumberFormat="1" applyFont="1" applyFill="1" applyBorder="1" applyAlignment="1">
      <x:alignment vertical="top"/>
    </x:xf>
    <x:xf numFmtId="201" fontId="5" fillId="0" borderId="1" xfId="0" applyNumberFormat="1" applyFont="1" applyFill="1" applyBorder="1" applyAlignment="1">
      <x:alignment vertical="top"/>
    </x:xf>
    <x:xf numFmtId="203" fontId="5" fillId="0" borderId="0" xfId="0" applyNumberFormat="1" applyFont="1" applyFill="1" applyBorder="1" applyAlignment="1">
      <x:alignment vertical="top"/>
    </x:xf>
    <x:xf numFmtId="203" fontId="5" fillId="0" borderId="1" xfId="0" applyNumberFormat="1" applyFont="1" applyFill="1" applyBorder="1" applyAlignment="1">
      <x:alignment vertical="top"/>
    </x:xf>
    <x:xf numFmtId="204" fontId="5" fillId="0" borderId="0" xfId="0" applyNumberFormat="1" applyFont="1" applyFill="1" applyBorder="1" applyAlignment="1">
      <x:alignment vertical="top"/>
    </x:xf>
    <x:xf numFmtId="204" fontId="5" fillId="0" borderId="1" xfId="0" applyNumberFormat="1" applyFont="1" applyFill="1" applyBorder="1" applyAlignment="1">
      <x:alignment vertical="top"/>
    </x:xf>
    <x:xf numFmtId="202" fontId="7" fillId="0" borderId="0" xfId="0" applyNumberFormat="1" applyFont="1" applyFill="1" applyBorder="1" applyAlignment="1">
      <x:alignment vertical="top"/>
    </x:xf>
    <x:xf numFmtId="202" fontId="7" fillId="0" borderId="1" xfId="0" applyNumberFormat="1" applyFont="1" applyFill="1" applyBorder="1" applyAlignment="1">
      <x:alignment vertical="top"/>
    </x:xf>
    <x:xf numFmtId="201" fontId="7" fillId="0" borderId="0" xfId="0" applyNumberFormat="1" applyFont="1" applyFill="1" applyBorder="1" applyAlignment="1">
      <x:alignment vertical="top"/>
    </x:xf>
    <x:xf numFmtId="201" fontId="7" fillId="0" borderId="1" xfId="0" applyNumberFormat="1" applyFont="1" applyFill="1" applyBorder="1" applyAlignment="1">
      <x:alignment vertical="top"/>
    </x:xf>
    <x:xf numFmtId="203" fontId="7" fillId="0" borderId="0" xfId="0" applyNumberFormat="1" applyFont="1" applyFill="1" applyBorder="1" applyAlignment="1">
      <x:alignment vertical="top"/>
    </x:xf>
    <x:xf numFmtId="203" fontId="7" fillId="0" borderId="1" xfId="0" applyNumberFormat="1" applyFont="1" applyFill="1" applyBorder="1" applyAlignment="1">
      <x:alignment vertical="top"/>
    </x:xf>
    <x:xf numFmtId="202" fontId="8" fillId="0" borderId="0" xfId="0" applyNumberFormat="1" applyFont="1" applyFill="1" applyBorder="1" applyAlignment="1">
      <x:alignment vertical="top"/>
    </x:xf>
    <x:xf numFmtId="202" fontId="8" fillId="0" borderId="1" xfId="0" applyNumberFormat="1" applyFont="1" applyFill="1" applyBorder="1" applyAlignment="1">
      <x:alignment vertical="top"/>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205" fontId="0" fillId="0" borderId="0" xfId="0" applyNumberFormat="1" applyFont="1" applyFill="1" applyBorder="1"/>
    <x:xf numFmtId="205" fontId="0" fillId="0" borderId="1" xfId="0" applyNumberFormat="1" applyFont="1" applyFill="1" applyBorder="1"/>
    <x:xf numFmtId="205" fontId="9" fillId="0" borderId="0" xfId="0" applyNumberFormat="1" applyFont="1" applyFill="1" applyBorder="1"/>
    <x:xf numFmtId="205" fontId="9"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2" fontId="9" fillId="0" borderId="0" xfId="0" applyNumberFormat="1" applyFont="1" applyFill="1" applyBorder="1"/>
    <x:xf numFmtId="204" fontId="9" fillId="0" borderId="0" xfId="0" applyNumberFormat="1" applyFont="1" applyFill="1" applyBorder="1"/>
    <x:xf numFmtId="202" fontId="9" fillId="0" borderId="1" xfId="0" applyNumberFormat="1" applyFont="1" applyFill="1" applyBorder="1"/>
    <x:xf numFmtId="204" fontId="9" fillId="0" borderId="1" xfId="0" applyNumberFormat="1" applyFont="1" applyFill="1" applyBorder="1"/>
    <x:xf numFmtId="0" fontId="10" fillId="0" borderId="0" xfId="0" applyNumberFormat="1" applyFont="1" applyFill="1" applyBorder="1"/>
    <x:xf numFmtId="0" fontId="10" fillId="0" borderId="1" xfId="0" applyNumberFormat="1" applyFont="1" applyFill="1" applyBorder="1"/>
    <x:xf numFmtId="0" fontId="10" fillId="0" borderId="0" xfId="0" applyNumberFormat="1" applyFont="1" applyFill="1" applyBorder="1" applyAlignment="1">
      <x:alignment vertical="top"/>
    </x:xf>
    <x:xf numFmtId="0" fontId="10" fillId="0" borderId="1" xfId="0" applyNumberFormat="1" applyFont="1" applyFill="1" applyBorder="1" applyAlignment="1">
      <x:alignment vertical="top"/>
    </x:xf>
    <x:xf numFmtId="204" fontId="8" fillId="0" borderId="0" xfId="0" applyNumberFormat="1" applyFont="1" applyFill="1" applyBorder="1" applyAlignment="1">
      <x:alignment vertical="top"/>
    </x:xf>
    <x:xf numFmtId="204" fontId="8" fillId="0" borderId="1" xfId="0" applyNumberFormat="1" applyFont="1" applyFill="1" applyBorder="1" applyAlignment="1">
      <x:alignment vertical="top"/>
    </x:xf>
  </x:cellXfs>
  <x:cellStyles count="1">
    <x:cellStyle name="Normal" xfId="0"/>
  </x:cellStyles>
  <x:dxfs count="14">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3F4F6"/>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4a1fce21c24179" /><Relationship Type="http://schemas.openxmlformats.org/officeDocument/2006/relationships/theme" Target="/xl/theme/theme1.xml" Id="Rf0a6050ab6eb49b1" /><Relationship Type="http://schemas.openxmlformats.org/officeDocument/2006/relationships/sharedStrings" Target="/xl/sharedStrings.xml" Id="R799c955d50d7442c" /><Relationship Type="http://schemas.openxmlformats.org/officeDocument/2006/relationships/worksheet" Target="/xl/worksheets/sheet1.xml" Id="R05ff62926b2046ba" /><Relationship Type="http://schemas.openxmlformats.org/officeDocument/2006/relationships/worksheet" Target="/xl/worksheets/sheet2.xml" Id="R49397c0c30f6480c" /><Relationship Type="http://schemas.openxmlformats.org/officeDocument/2006/relationships/worksheet" Target="/xl/worksheets/sheet3.xml" Id="Rde4e94a6cb3f458e" /><Relationship Type="http://schemas.openxmlformats.org/officeDocument/2006/relationships/worksheet" Target="/xl/worksheets/sheet4.xml" Id="Ra20c5e7667e84737" /><Relationship Type="http://schemas.openxmlformats.org/officeDocument/2006/relationships/worksheet" Target="/xl/worksheets/sheet5.xml" Id="R45043caae36648cb" /><Relationship Type="http://schemas.openxmlformats.org/officeDocument/2006/relationships/worksheet" Target="/xl/worksheets/sheet6.xml" Id="R2362361437a04ae9" /></Relationships>
</file>

<file path=xl/tables/table1.xml><?xml version="1.0" encoding="utf-8"?>
<x:table xmlns:x="http://schemas.openxmlformats.org/spreadsheetml/2006/main" id="5" name="QuickViewTable" displayName="QuickViewTable" ref="A21:L46" headerRowCount="1" totalsRowCount="0" totalsRowShown="0">
  <x:tableColumns count="12">
    <x:tableColumn id="1" name="Company"/>
    <x:tableColumn id="2" name="Ticker"/>
    <x:tableColumn id="3" name="Dual / Other Listing"/>
    <x:tableColumn id="4" name="Program(s)"/>
    <x:tableColumn id="5" name="P1 Limit (US$mm)"/>
    <x:tableColumn id="6" name="P1 Executed (US$mm)"/>
    <x:tableColumn id="7" name="P1 Remaining (US$mm)"/>
    <x:tableColumn id="8" name="P1 Completion"/>
    <x:tableColumn id="9" name="P1 Expiry"/>
    <x:tableColumn id="10" name="P2 Limit (US$mm)"/>
    <x:tableColumn id="11" name="P2 Executed (US$mm)"/>
    <x:tableColumn id="12" name="P2 Expiry"/>
  </x:tableColumns>
  <x:tableStyleInfo name="TableStyleMedium2" showFirstColumn="0" showLastColumn="0" showRowStripes="1" showColumnStripes="0"/>
</x:table>
</file>

<file path=xl/tables/table2.xml><?xml version="1.0" encoding="utf-8"?>
<x:table xmlns:x="http://schemas.openxmlformats.org/spreadsheetml/2006/main" id="2" name="ActiveBuybacksTable" displayName="ActiveBuybacksTable" ref="A4:BF29" headerRowCount="1" totalsRowCount="0" totalsRowShown="0">
  <x:tableColumns count="58">
    <x:tableColumn id="1" name="Company"/>
    <x:tableColumn id="2" name="US Ticker"/>
    <x:tableColumn id="3" name="US Exchange"/>
    <x:tableColumn id="4" name="Dual / Other Listed?"/>
    <x:tableColumn id="5" name="Other Exchange"/>
    <x:tableColumn id="6" name="Other Ticker"/>
    <x:tableColumn id="7" name="Active Program Count"/>
    <x:tableColumn id="8" name="Overall Status"/>
    <x:tableColumn id="9" name="P1 Announcement Date"/>
    <x:tableColumn id="10" name="P1 Program Description"/>
    <x:tableColumn id="11" name="P1 Limit Native (mm)"/>
    <x:tableColumn id="12" name="P1 Authorization Currency"/>
    <x:tableColumn id="13" name="P1 FX: Native / USD"/>
    <x:tableColumn id="14" name="P1 Program Limit (US$mm)"/>
    <x:tableColumn id="15" name="P1 Executed Native (mm)"/>
    <x:tableColumn id="16" name="P1 Execution Currency"/>
    <x:tableColumn id="17" name="P1 Execution FX"/>
    <x:tableColumn id="18" name="P1 Executed (US$mm)"/>
    <x:tableColumn id="19" name="P1 Shares Executed (mm)"/>
    <x:tableColumn id="20" name="P1 Share Unit"/>
    <x:tableColumn id="21" name="P1 Remaining (US$mm)"/>
    <x:tableColumn id="22" name="P1 Completion %"/>
    <x:tableColumn id="23" name="P1 Target / Expiry"/>
    <x:tableColumn id="24" name="P1 Data As Of"/>
    <x:tableColumn id="25" name="P1 Latest Report Date"/>
    <x:tableColumn id="26" name="P1 Latest Report Type"/>
    <x:tableColumn id="27" name="P1 Amount Basis"/>
    <x:tableColumn id="28" name="P1 Evidence Quality"/>
    <x:tableColumn id="29" name="P1 Latest Report URL"/>
    <x:tableColumn id="30" name="P1 Announcement URL"/>
    <x:tableColumn id="31" name="P1 Execution Evidence URL"/>
    <x:tableColumn id="32" name="P1 Method / Reconciliation"/>
    <x:tableColumn id="33" name="P1 Notes"/>
    <x:tableColumn id="34" name="P2 Announcement Date"/>
    <x:tableColumn id="35" name="P2 Program Description"/>
    <x:tableColumn id="36" name="P2 Limit Native (mm)"/>
    <x:tableColumn id="37" name="P2 Authorization Currency"/>
    <x:tableColumn id="38" name="P2 FX: Native / USD"/>
    <x:tableColumn id="39" name="P2 Program Limit (US$mm)"/>
    <x:tableColumn id="40" name="P2 Executed Native (mm)"/>
    <x:tableColumn id="41" name="P2 Execution Currency"/>
    <x:tableColumn id="42" name="P2 Execution FX"/>
    <x:tableColumn id="43" name="P2 Executed (US$mm)"/>
    <x:tableColumn id="44" name="P2 Shares Executed (mm)"/>
    <x:tableColumn id="45" name="P2 Share Unit"/>
    <x:tableColumn id="46" name="P2 Remaining (US$mm)"/>
    <x:tableColumn id="47" name="P2 Completion %"/>
    <x:tableColumn id="48" name="P2 Target / Expiry"/>
    <x:tableColumn id="49" name="P2 Data As Of"/>
    <x:tableColumn id="50" name="P2 Latest Report Date"/>
    <x:tableColumn id="51" name="P2 Latest Report Type"/>
    <x:tableColumn id="52" name="P2 Amount Basis"/>
    <x:tableColumn id="53" name="P2 Evidence Quality"/>
    <x:tableColumn id="54" name="P2 Latest Report URL"/>
    <x:tableColumn id="55" name="P2 Announcement URL"/>
    <x:tableColumn id="56" name="P2 Execution Evidence URL"/>
    <x:tableColumn id="57" name="P2 Method / Reconciliation"/>
    <x:tableColumn id="58" name="P2 Notes"/>
  </x:tableColumns>
  <x:tableStyleInfo name="TableStyleMedium2" showFirstColumn="0" showLastColumn="0" showRowStripes="1" showColumnStripes="0"/>
</x:table>
</file>

<file path=xl/tables/table3.xml><?xml version="1.0" encoding="utf-8"?>
<x:table xmlns:x="http://schemas.openxmlformats.org/spreadsheetml/2006/main" id="1" name="ProgramDetailTable" displayName="ProgramDetailTable" ref="A4:AF31" headerRowCount="1" totalsRowCount="0" totalsRowShown="0">
  <x:tableColumns count="32">
    <x:tableColumn id="1" name="Company"/>
    <x:tableColumn id="2" name="US Ticker"/>
    <x:tableColumn id="3" name="US Exchange"/>
    <x:tableColumn id="4" name="Dual / Other Listed?"/>
    <x:tableColumn id="5" name="Other Exchange"/>
    <x:tableColumn id="6" name="Other Ticker"/>
    <x:tableColumn id="7" name="Program #"/>
    <x:tableColumn id="8" name="Announcement Date"/>
    <x:tableColumn id="9" name="Program Description"/>
    <x:tableColumn id="10" name="Limit Native (mm)"/>
    <x:tableColumn id="11" name="Authorization Currency"/>
    <x:tableColumn id="12" name="FX: Native / USD"/>
    <x:tableColumn id="13" name="Program Limit (US$mm)"/>
    <x:tableColumn id="14" name="Executed Native (mm)"/>
    <x:tableColumn id="15" name="Execution Currency"/>
    <x:tableColumn id="16" name="Execution FX"/>
    <x:tableColumn id="17" name="Executed (US$mm)"/>
    <x:tableColumn id="18" name="Shares Executed (mm)"/>
    <x:tableColumn id="19" name="Share Unit"/>
    <x:tableColumn id="20" name="Remaining (US$mm)"/>
    <x:tableColumn id="21" name="Completion %"/>
    <x:tableColumn id="22" name="Target / Expiry"/>
    <x:tableColumn id="23" name="Data As Of"/>
    <x:tableColumn id="24" name="Latest Report Date"/>
    <x:tableColumn id="25" name="Latest Report Type"/>
    <x:tableColumn id="26" name="Amount Basis"/>
    <x:tableColumn id="27" name="Evidence Quality"/>
    <x:tableColumn id="28" name="Latest Report URL"/>
    <x:tableColumn id="29" name="Announcement URL"/>
    <x:tableColumn id="30" name="Execution Evidence URL"/>
    <x:tableColumn id="31" name="Method / Reconciliation"/>
    <x:tableColumn id="32" name="Notes"/>
  </x:tableColumns>
  <x:tableStyleInfo name="TableStyleMedium2" showFirstColumn="0" showLastColumn="0" showRowStripes="1" showColumnStripes="0"/>
</x:table>
</file>

<file path=xl/tables/table4.xml><?xml version="1.0" encoding="utf-8"?>
<x:table xmlns:x="http://schemas.openxmlformats.org/spreadsheetml/2006/main" id="3" name="AllFirmsTable" displayName="AllFirmsTable" ref="A4:J41" headerRowCount="1" totalsRowCount="0" totalsRowShown="0">
  <x:tableColumns count="10">
    <x:tableColumn id="1" name="Company"/>
    <x:tableColumn id="2" name="US Ticker"/>
    <x:tableColumn id="3" name="Primary Exchange"/>
    <x:tableColumn id="4" name="Dual / Other Listed?"/>
    <x:tableColumn id="5" name="Other Exchange"/>
    <x:tableColumn id="6" name="Other Ticker"/>
    <x:tableColumn id="7" name="Active Program Count"/>
    <x:tableColumn id="8" name="Active?"/>
    <x:tableColumn id="9" name="Screening Conclusion"/>
    <x:tableColumn id="10" name="Most Relevant Review Source"/>
  </x:tableColumns>
  <x:tableStyleInfo name="TableStyleMedium2" showFirstColumn="0" showLastColumn="0" showRowStripes="1" showColumnStripes="0"/>
</x:table>
</file>

<file path=xl/tables/table5.xml><?xml version="1.0" encoding="utf-8"?>
<x:table xmlns:x="http://schemas.openxmlformats.org/spreadsheetml/2006/main" id="4" name="SourceLogTable" displayName="SourceLogTable" ref="A4:I97" headerRowCount="1" totalsRowCount="0" totalsRowShown="0">
  <x:tableColumns count="9">
    <x:tableColumn id="1" name="Company"/>
    <x:tableColumn id="2" name="US Ticker"/>
    <x:tableColumn id="3" name="Program #"/>
    <x:tableColumn id="4" name="Source Role"/>
    <x:tableColumn id="5" name="Relevant Date"/>
    <x:tableColumn id="6" name="Source / Filing Type"/>
    <x:tableColumn id="7" name="URL"/>
    <x:tableColumn id="8" name="What It Supports"/>
    <x:tableColumn id="9" name="Evidence Qual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5ae9e8d15a4f82" /></Relationships>
</file>

<file path=xl/worksheets/_rels/sheet2.xml.rels>&#65279;<?xml version="1.0" encoding="utf-8"?><Relationships xmlns="http://schemas.openxmlformats.org/package/2006/relationships"><Relationship Type="http://schemas.openxmlformats.org/officeDocument/2006/relationships/table" Target="/xl/tables/table2.xml" Id="R68879bce96a745bf" /></Relationships>
</file>

<file path=xl/worksheets/_rels/sheet3.xml.rels>&#65279;<?xml version="1.0" encoding="utf-8"?><Relationships xmlns="http://schemas.openxmlformats.org/package/2006/relationships"><Relationship Type="http://schemas.openxmlformats.org/officeDocument/2006/relationships/table" Target="/xl/tables/table3.xml" Id="Rb0fcfd395af242e8" /></Relationships>
</file>

<file path=xl/worksheets/_rels/sheet4.xml.rels>&#65279;<?xml version="1.0" encoding="utf-8"?><Relationships xmlns="http://schemas.openxmlformats.org/package/2006/relationships"><Relationship Type="http://schemas.openxmlformats.org/officeDocument/2006/relationships/table" Target="/xl/tables/table4.xml" Id="R0b22c05f0b3d48fd" /></Relationships>
</file>

<file path=xl/worksheets/_rels/sheet5.xml.rels>&#65279;<?xml version="1.0" encoding="utf-8"?><Relationships xmlns="http://schemas.openxmlformats.org/package/2006/relationships"><Relationship Type="http://schemas.openxmlformats.org/officeDocument/2006/relationships/table" Target="/xl/tables/table5.xml" Id="Ref8acda6439b4e2d" /></Relationships>
</file>

<file path=xl/worksheets/sheet1.xml><?xml version="1.0" encoding="utf-8"?>
<x:worksheet xmlns:x="http://schemas.openxmlformats.org/spreadsheetml/2006/main">
  <x:sheetFormatPr defaultRowHeight="15"/>
  <x:cols>
    <x:col min="1" max="1" width="28" hidden="0" customWidth="1"/>
    <x:col min="2" max="2" width="12" hidden="0" customWidth="1"/>
    <x:col min="3" max="3" width="27" hidden="0" customWidth="1"/>
    <x:col min="4" max="4" width="34" hidden="0" customWidth="1"/>
    <x:col min="5" max="5" width="17" hidden="0" customWidth="1"/>
    <x:col min="6" max="6" width="19" hidden="0" customWidth="1"/>
    <x:col min="7" max="7" width="19" hidden="0" customWidth="1"/>
    <x:col min="8" max="8" width="14" hidden="0" customWidth="1"/>
    <x:col min="9" max="9" width="17" hidden="0" customWidth="1"/>
    <x:col min="10" max="10" width="17" hidden="0" customWidth="1"/>
    <x:col min="11" max="11" width="19" hidden="0" customWidth="1"/>
    <x:col min="12" max="12" width="17" hidden="0" customWidth="1"/>
  </x:cols>
  <x:sheetData>
    <x:row r="1">
      <x:c r="A1" s="4" t="str">
        <x:v>Chinese ADR / U.S.-Listed Share Buyback Review</x:v>
      </x:c>
      <x:c r="B1" s="4"/>
      <x:c r="C1" s="4"/>
      <x:c r="D1" s="4"/>
      <x:c r="E1" s="4"/>
      <x:c r="F1" s="4"/>
      <x:c r="G1" s="4"/>
      <x:c r="H1" s="4"/>
      <x:c r="I1" s="4"/>
      <x:c r="J1" s="4"/>
      <x:c r="K1" s="4"/>
      <x:c r="L1" s="4"/>
    </x:row>
    <x:row r="2">
      <x:c r="A2" s="43" t="str">
        <x:v>Current active programs only | Cutoff 2026-08-21 | Quarterly / annual reports and material program announcements cross-checked</x:v>
      </x:c>
      <x:c r="B2" s="43"/>
      <x:c r="C2" s="43"/>
      <x:c r="D2" s="43"/>
      <x:c r="E2" s="43"/>
      <x:c r="F2" s="43"/>
      <x:c r="G2" s="43"/>
      <x:c r="H2" s="43"/>
      <x:c r="I2" s="43"/>
      <x:c r="J2" s="43"/>
      <x:c r="K2" s="43"/>
      <x:c r="L2" s="43"/>
    </x:row>
    <x:row r="4">
      <x:c r="A4" s="24" t="str">
        <x:v>Coverage</x:v>
      </x:c>
      <x:c r="B4" s="24"/>
      <x:c r="C4" s="24"/>
      <x:c r="D4" s="24"/>
      <x:c r="E4" s="24"/>
      <x:c r="F4" s="24"/>
      <x:c r="G4" s="24"/>
      <x:c r="H4" s="24"/>
      <x:c r="I4" s="24"/>
      <x:c r="J4" s="24"/>
      <x:c r="K4" s="24"/>
      <x:c r="L4" s="24"/>
    </x:row>
    <x:row r="5">
      <x:c r="A5" s="11" t="str">
        <x:v>Metric</x:v>
      </x:c>
      <x:c r="B5" s="11" t="str">
        <x:v>Value</x:v>
      </x:c>
      <x:c r="D5" s="11" t="str">
        <x:v>Capital metric</x:v>
      </x:c>
      <x:c r="E5" s="11" t="str">
        <x:v>US$mm</x:v>
      </x:c>
    </x:row>
    <x:row r="6">
      <x:c r="A6" t="str">
        <x:v>Firms screened</x:v>
      </x:c>
      <x:c r="B6" s="86" t="n">
        <x:f>COUNTA('All Firms'!A5:A41)</x:f>
        <x:v>37</x:v>
      </x:c>
      <x:c r="D6" t="str">
        <x:v>Active authorization / economic capacity</x:v>
      </x:c>
      <x:c r="E6" s="92" t="n">
        <x:f>SUM('Program Detail'!M5:M31)</x:f>
        <x:v>76353.41025641025</x:v>
      </x:c>
    </x:row>
    <x:row r="7">
      <x:c r="A7" t="str">
        <x:v>Active issuers</x:v>
      </x:c>
      <x:c r="B7" s="86" t="n">
        <x:f>COUNTIF('All Firms'!H5:H41,"Yes")</x:f>
        <x:v>25</x:v>
      </x:c>
      <x:c r="D7" t="str">
        <x:v>Quantified executed amount</x:v>
      </x:c>
      <x:c r="E7" s="92" t="n">
        <x:f>SUM('Program Detail'!Q5:Q31)</x:f>
        <x:v>33796.93943174014</x:v>
      </x:c>
    </x:row>
    <x:row r="8">
      <x:c r="A8" t="str">
        <x:v>Active programs</x:v>
      </x:c>
      <x:c r="B8" s="86" t="n">
        <x:f>COUNTA('Program Detail'!A5:A31)</x:f>
        <x:v>27</x:v>
      </x:c>
      <x:c r="D8" t="str">
        <x:v>Quantified remaining capacity</x:v>
      </x:c>
      <x:c r="E8" s="92" t="n">
        <x:f>SUM('Program Detail'!T5:T31)</x:f>
        <x:v>36180.060568259854</x:v>
      </x:c>
    </x:row>
    <x:row r="9">
      <x:c r="A9" t="str">
        <x:v>Issuers with &gt;1 active program</x:v>
      </x:c>
      <x:c r="B9" s="86" t="n">
        <x:f>COUNTIF('All Firms'!G5:G41,"&gt;1")</x:f>
        <x:v>2</x:v>
      </x:c>
      <x:c r="D9" t="str">
        <x:v>Execution coverage</x:v>
      </x:c>
      <x:c r="E9" s="93" t="n">
        <x:f>COUNT('Program Detail'!Q5:Q31)/COUNTA('Program Detail'!A5:A31)</x:f>
        <x:v>0.7777777777777778</x:v>
      </x:c>
    </x:row>
    <x:row r="10">
      <x:c r="A10" t="str">
        <x:v>Programs with quantified executed US$</x:v>
      </x:c>
      <x:c r="B10" s="86" t="n">
        <x:f>COUNT('Program Detail'!Q5:Q31)</x:f>
        <x:v>21</x:v>
      </x:c>
      <x:c r="D10" t="str">
        <x:v>Programs with Evidence A</x:v>
      </x:c>
      <x:c r="E10" s="86" t="n">
        <x:f>COUNTIF('Program Detail'!AA5:AA31,"A")</x:f>
        <x:v>15</x:v>
      </x:c>
    </x:row>
    <x:row r="12">
      <x:c r="A12" s="24" t="str">
        <x:v>Interpretation / exceptions that matter</x:v>
      </x:c>
      <x:c r="B12" s="24"/>
      <x:c r="C12" s="24"/>
      <x:c r="D12" s="24"/>
      <x:c r="E12" s="24"/>
      <x:c r="F12" s="24"/>
      <x:c r="G12" s="24"/>
      <x:c r="H12" s="24"/>
      <x:c r="I12" s="24"/>
      <x:c r="J12" s="24"/>
      <x:c r="K12" s="24"/>
      <x:c r="L12" s="24"/>
    </x:row>
    <x:row r="13">
      <x:c r="A13" s="98" t="str">
        <x:v>Trip.com</x:v>
      </x:c>
      <x:c r="B13" s="35" t="str">
        <x:v>Two active programs are shown, but latest annual-report capacity is partly aggregate (~US$5.068bn unused across the two). Per-program completion is therefore intentionally blank.</x:v>
      </x:c>
      <x:c r="C13" s="35"/>
      <x:c r="D13" s="35"/>
      <x:c r="E13" s="35"/>
      <x:c r="F13" s="35"/>
      <x:c r="G13" s="35"/>
      <x:c r="H13" s="35"/>
      <x:c r="I13" s="35"/>
      <x:c r="J13" s="35"/>
      <x:c r="K13" s="35"/>
      <x:c r="L13" s="35"/>
    </x:row>
    <x:row r="14">
      <x:c r="A14" s="98" t="str">
        <x:v>QFIN</x:v>
      </x:c>
      <x:c r="B14" s="35" t="str">
        <x:v>US$677m is an implied economic capacity (US$227m executed + US$450m disclosed remaining), not a board-stated fixed program cap.</x:v>
      </x:c>
      <x:c r="C14" s="35"/>
      <x:c r="D14" s="35"/>
      <x:c r="E14" s="35"/>
      <x:c r="F14" s="35"/>
      <x:c r="G14" s="35"/>
      <x:c r="H14" s="35"/>
      <x:c r="I14" s="35"/>
      <x:c r="J14" s="35"/>
      <x:c r="K14" s="35"/>
      <x:c r="L14" s="35"/>
    </x:row>
    <x:row r="15">
      <x:c r="A15" s="98" t="str">
        <x:v>KANZHUN</x:v>
      </x:c>
      <x:c r="B15" s="35" t="str">
        <x:v>Displayed executed US$ is a conservative lower bound based only on &gt;RMB2.06bn H1-2026 purchases translated at RMB6.7851/US$. Completion is therefore at least the displayed figure.</x:v>
      </x:c>
      <x:c r="C15" s="35"/>
      <x:c r="D15" s="35"/>
      <x:c r="E15" s="35"/>
      <x:c r="F15" s="35"/>
      <x:c r="G15" s="35"/>
      <x:c r="H15" s="35"/>
      <x:c r="I15" s="35"/>
      <x:c r="J15" s="35"/>
      <x:c r="K15" s="35"/>
      <x:c r="L15" s="35"/>
    </x:row>
    <x:row r="16">
      <x:c r="A16" s="98" t="str">
        <x:v>New programs</x:v>
      </x:c>
      <x:c r="B16" s="35" t="str">
        <x:v>EDU Program 2, MINISO, Weibo and GigaCloud have no post-launch quantified execution update by the cutoff. Execution is blank, not zero.</x:v>
      </x:c>
      <x:c r="C16" s="35"/>
      <x:c r="D16" s="35"/>
      <x:c r="E16" s="35"/>
      <x:c r="F16" s="35"/>
      <x:c r="G16" s="35"/>
      <x:c r="H16" s="35"/>
      <x:c r="I16" s="35"/>
      <x:c r="J16" s="35"/>
      <x:c r="K16" s="35"/>
      <x:c r="L16" s="35"/>
    </x:row>
    <x:row r="17">
      <x:c r="A17" s="98" t="str">
        <x:v>Stale quantified cases</x:v>
      </x:c>
      <x:c r="B17" s="35" t="str">
        <x:v>Vipshop, Atour and RLX have active programs but the latest clean quantified execution balance is older than the cutoff; Data As Of makes the staleness explicit.</x:v>
      </x:c>
      <x:c r="C17" s="35"/>
      <x:c r="D17" s="35"/>
      <x:c r="E17" s="35"/>
      <x:c r="F17" s="35"/>
      <x:c r="G17" s="35"/>
      <x:c r="H17" s="35"/>
      <x:c r="I17" s="35"/>
      <x:c r="J17" s="35"/>
      <x:c r="K17" s="35"/>
      <x:c r="L17" s="35"/>
    </x:row>
    <x:row r="18">
      <x:c r="A18" s="98" t="str">
        <x:v>H World</x:v>
      </x:c>
      <x:c r="B18" s="35" t="str">
        <x:v>Current US$1bn five-year buyback remains active. The new Aug-2026 US$2.5bn shareholder-return plan allows dividends and/or buybacks but is not counted as a second fixed buyback authorization.</x:v>
      </x:c>
      <x:c r="C18" s="35"/>
      <x:c r="D18" s="35"/>
      <x:c r="E18" s="35"/>
      <x:c r="F18" s="35"/>
      <x:c r="G18" s="35"/>
      <x:c r="H18" s="35"/>
      <x:c r="I18" s="35"/>
      <x:c r="J18" s="35"/>
      <x:c r="K18" s="35"/>
      <x:c r="L18" s="35"/>
    </x:row>
    <x:row r="20">
      <x:c r="A20" s="24" t="str">
        <x:v>Active issuer quick view</x:v>
      </x:c>
      <x:c r="B20" s="24"/>
      <x:c r="C20" s="24"/>
      <x:c r="D20" s="24"/>
      <x:c r="E20" s="24"/>
      <x:c r="F20" s="24"/>
      <x:c r="G20" s="24"/>
      <x:c r="H20" s="24"/>
      <x:c r="I20" s="24"/>
      <x:c r="J20" s="24"/>
      <x:c r="K20" s="24"/>
      <x:c r="L20" s="24"/>
    </x:row>
    <x:row r="21">
      <x:c r="A21" s="11" t="str">
        <x:v>Company</x:v>
      </x:c>
      <x:c r="B21" s="11" t="str">
        <x:v>Ticker</x:v>
      </x:c>
      <x:c r="C21" s="11" t="str">
        <x:v>Dual / Other Listing</x:v>
      </x:c>
      <x:c r="D21" s="11" t="str">
        <x:v>Program(s)</x:v>
      </x:c>
      <x:c r="E21" s="11" t="str">
        <x:v>P1 Limit (US$mm)</x:v>
      </x:c>
      <x:c r="F21" s="11" t="str">
        <x:v>P1 Executed (US$mm)</x:v>
      </x:c>
      <x:c r="G21" s="11" t="str">
        <x:v>P1 Remaining (US$mm)</x:v>
      </x:c>
      <x:c r="H21" s="11" t="str">
        <x:v>P1 Completion</x:v>
      </x:c>
      <x:c r="I21" s="11" t="str">
        <x:v>P1 Expiry</x:v>
      </x:c>
      <x:c r="J21" s="11" t="str">
        <x:v>P2 Limit (US$mm)</x:v>
      </x:c>
      <x:c r="K21" s="11" t="str">
        <x:v>P2 Executed (US$mm)</x:v>
      </x:c>
      <x:c r="L21" s="11" t="str">
        <x:v>P2 Expiry</x:v>
      </x:c>
    </x:row>
    <x:row r="22">
      <x:c r="A22" s="47" t="str">
        <x:v>Alibaba Group Holding Ltd</x:v>
      </x:c>
      <x:c r="B22" s="47" t="str">
        <x:v>BABA</x:v>
      </x:c>
      <x:c r="C22" s="47" t="str">
        <x:v>Yes | HKEX 9988 / 89988</x:v>
      </x:c>
      <x:c r="D22" s="47" t="n">
        <x:v>1</x:v>
      </x:c>
      <x:c r="E22" s="52" t="n">
        <x:v>35300</x:v>
      </x:c>
      <x:c r="F22" s="52" t="n">
        <x:v>16362</x:v>
      </x:c>
      <x:c r="G22" s="52" t="n">
        <x:v>18938</x:v>
      </x:c>
      <x:c r="H22" s="58" t="n">
        <x:v>0.4635127478753541</x:v>
      </x:c>
      <x:c r="I22" s="50" t="n">
        <x:v>46477</x:v>
      </x:c>
      <x:c r="J22" s="52"/>
      <x:c r="K22" s="52"/>
      <x:c r="L22" s="50"/>
    </x:row>
    <x:row r="23">
      <x:c r="A23" s="47" t="str">
        <x:v>NetEase, Inc.</x:v>
      </x:c>
      <x:c r="B23" s="47" t="str">
        <x:v>NTES</x:v>
      </x:c>
      <x:c r="C23" s="47" t="str">
        <x:v>Yes | HKEX 9999</x:v>
      </x:c>
      <x:c r="D23" s="47" t="n">
        <x:v>1</x:v>
      </x:c>
      <x:c r="E23" s="52" t="n">
        <x:v>5000</x:v>
      </x:c>
      <x:c r="F23" s="52" t="n">
        <x:v>2300</x:v>
      </x:c>
      <x:c r="G23" s="52" t="n">
        <x:v>2700</x:v>
      </x:c>
      <x:c r="H23" s="58" t="n">
        <x:v>0.46</x:v>
      </x:c>
      <x:c r="I23" s="50" t="n">
        <x:v>47127</x:v>
      </x:c>
      <x:c r="J23" s="52"/>
      <x:c r="K23" s="52"/>
      <x:c r="L23" s="50"/>
    </x:row>
    <x:row r="24">
      <x:c r="A24" s="47" t="str">
        <x:v>JD.com, Inc.</x:v>
      </x:c>
      <x:c r="B24" s="47" t="str">
        <x:v>JD</x:v>
      </x:c>
      <x:c r="C24" s="47" t="str">
        <x:v>Yes | HKEX 9618 / 89618</x:v>
      </x:c>
      <x:c r="D24" s="47" t="n">
        <x:v>1</x:v>
      </x:c>
      <x:c r="E24" s="52" t="n">
        <x:v>5000</x:v>
      </x:c>
      <x:c r="F24" s="52" t="n">
        <x:v>4000</x:v>
      </x:c>
      <x:c r="G24" s="52" t="n">
        <x:v>1000</x:v>
      </x:c>
      <x:c r="H24" s="58" t="n">
        <x:v>0.8</x:v>
      </x:c>
      <x:c r="I24" s="50" t="n">
        <x:v>46630</x:v>
      </x:c>
      <x:c r="J24" s="52"/>
      <x:c r="K24" s="52"/>
      <x:c r="L24" s="50"/>
    </x:row>
    <x:row r="25">
      <x:c r="A25" s="47" t="str">
        <x:v>Trip.com Group Ltd</x:v>
      </x:c>
      <x:c r="B25" s="47" t="str">
        <x:v>TCOM</x:v>
      </x:c>
      <x:c r="C25" s="47" t="str">
        <x:v>Yes | HKEX 9961</x:v>
      </x:c>
      <x:c r="D25" s="47" t="n">
        <x:v>2</x:v>
      </x:c>
      <x:c r="E25" s="52" t="n">
        <x:v>5000</x:v>
      </x:c>
      <x:c r="F25" s="52"/>
      <x:c r="G25" s="52"/>
      <x:c r="H25" s="58"/>
      <x:c r="I25" s="50" t="str">
        <x:v>No fixed expiry disclosed</x:v>
      </x:c>
      <x:c r="J25" s="52" t="n">
        <x:v>600</x:v>
      </x:c>
      <x:c r="K25" s="52"/>
      <x:c r="L25" s="50" t="str">
        <x:v>No fixed expiry disclosed</x:v>
      </x:c>
    </x:row>
    <x:row r="26">
      <x:c r="A26" s="47" t="str">
        <x:v>Baidu, Inc.</x:v>
      </x:c>
      <x:c r="B26" s="47" t="str">
        <x:v>BIDU</x:v>
      </x:c>
      <x:c r="C26" s="47" t="str">
        <x:v>Yes | HKEX 9888 / 89888</x:v>
      </x:c>
      <x:c r="D26" s="47" t="n">
        <x:v>1</x:v>
      </x:c>
      <x:c r="E26" s="52" t="n">
        <x:v>5000</x:v>
      </x:c>
      <x:c r="F26" s="52" t="n">
        <x:v>259</x:v>
      </x:c>
      <x:c r="G26" s="52" t="n">
        <x:v>4741</x:v>
      </x:c>
      <x:c r="H26" s="58" t="n">
        <x:v>0.0518</x:v>
      </x:c>
      <x:c r="I26" s="50" t="n">
        <x:v>47118</x:v>
      </x:c>
      <x:c r="J26" s="52"/>
      <x:c r="K26" s="52"/>
      <x:c r="L26" s="50"/>
    </x:row>
    <x:row r="27">
      <x:c r="A27" s="47" t="str">
        <x:v>Li Auto Inc.</x:v>
      </x:c>
      <x:c r="B27" s="47" t="str">
        <x:v>LI</x:v>
      </x:c>
      <x:c r="C27" s="47" t="str">
        <x:v>Yes | HKEX 2015</x:v>
      </x:c>
      <x:c r="D27" s="47" t="n">
        <x:v>1</x:v>
      </x:c>
      <x:c r="E27" s="52" t="n">
        <x:v>1000</x:v>
      </x:c>
      <x:c r="F27" s="52" t="n">
        <x:v>139.7</x:v>
      </x:c>
      <x:c r="G27" s="52" t="n">
        <x:v>860.3</x:v>
      </x:c>
      <x:c r="H27" s="58" t="n">
        <x:v>0.1397</x:v>
      </x:c>
      <x:c r="I27" s="50" t="n">
        <x:v>46477</x:v>
      </x:c>
      <x:c r="J27" s="52"/>
      <x:c r="K27" s="52"/>
      <x:c r="L27" s="50"/>
    </x:row>
    <x:row r="28">
      <x:c r="A28" s="47" t="str">
        <x:v>KE Holdings Inc.</x:v>
      </x:c>
      <x:c r="B28" s="47" t="str">
        <x:v>BEKE</x:v>
      </x:c>
      <x:c r="C28" s="47" t="str">
        <x:v>Yes | HKEX 2423</x:v>
      </x:c>
      <x:c r="D28" s="47" t="n">
        <x:v>1</x:v>
      </x:c>
      <x:c r="E28" s="52" t="n">
        <x:v>5000</x:v>
      </x:c>
      <x:c r="F28" s="52" t="n">
        <x:v>2741.7</x:v>
      </x:c>
      <x:c r="G28" s="52" t="n">
        <x:v>2258.3</x:v>
      </x:c>
      <x:c r="H28" s="58" t="n">
        <x:v>0.5483399999999999</x:v>
      </x:c>
      <x:c r="I28" s="50" t="n">
        <x:v>46996</x:v>
      </x:c>
      <x:c r="J28" s="52"/>
      <x:c r="K28" s="52"/>
      <x:c r="L28" s="50"/>
    </x:row>
    <x:row r="29">
      <x:c r="A29" s="47" t="str">
        <x:v>Tencent Music Entertainment Group</x:v>
      </x:c>
      <x:c r="B29" s="47" t="str">
        <x:v>TME</x:v>
      </x:c>
      <x:c r="C29" s="47" t="str">
        <x:v>Yes | HKEX 1698</x:v>
      </x:c>
      <x:c r="D29" s="47" t="n">
        <x:v>1</x:v>
      </x:c>
      <x:c r="E29" s="52" t="n">
        <x:v>1000</x:v>
      </x:c>
      <x:c r="F29" s="52" t="n">
        <x:v>400</x:v>
      </x:c>
      <x:c r="G29" s="52" t="n">
        <x:v>600</x:v>
      </x:c>
      <x:c r="H29" s="58" t="n">
        <x:v>0.4</x:v>
      </x:c>
      <x:c r="I29" s="50" t="n">
        <x:v>46466</x:v>
      </x:c>
      <x:c r="J29" s="52"/>
      <x:c r="K29" s="52"/>
      <x:c r="L29" s="50"/>
    </x:row>
    <x:row r="30">
      <x:c r="A30" s="47" t="str">
        <x:v>Yum China Holdings, Inc.</x:v>
      </x:c>
      <x:c r="B30" s="47" t="str">
        <x:v>YUMC</x:v>
      </x:c>
      <x:c r="C30" s="47" t="str">
        <x:v>Yes | HKEX 9987</x:v>
      </x:c>
      <x:c r="D30" s="47" t="n">
        <x:v>1</x:v>
      </x:c>
      <x:c r="E30" s="52" t="n">
        <x:v>5400</x:v>
      </x:c>
      <x:c r="F30" s="52" t="n">
        <x:v>4759</x:v>
      </x:c>
      <x:c r="G30" s="52" t="n">
        <x:v>641</x:v>
      </x:c>
      <x:c r="H30" s="58" t="n">
        <x:v>0.8812962962962962</x:v>
      </x:c>
      <x:c r="I30" s="50" t="str">
        <x:v>No fixed expiry disclosed</x:v>
      </x:c>
      <x:c r="J30" s="52"/>
      <x:c r="K30" s="52"/>
      <x:c r="L30" s="50"/>
    </x:row>
    <x:row r="31">
      <x:c r="A31" s="47" t="str">
        <x:v>ZTO Express (Cayman) Inc.</x:v>
      </x:c>
      <x:c r="B31" s="47" t="str">
        <x:v>ZTO</x:v>
      </x:c>
      <x:c r="C31" s="47" t="str">
        <x:v>Yes | HKEX 2057</x:v>
      </x:c>
      <x:c r="D31" s="47" t="n">
        <x:v>1</x:v>
      </x:c>
      <x:c r="E31" s="52" t="n">
        <x:v>1500</x:v>
      </x:c>
      <x:c r="F31" s="52" t="n">
        <x:v>138</x:v>
      </x:c>
      <x:c r="G31" s="52" t="n">
        <x:v>1362</x:v>
      </x:c>
      <x:c r="H31" s="58" t="n">
        <x:v>0.092</x:v>
      </x:c>
      <x:c r="I31" s="50" t="n">
        <x:v>46832</x:v>
      </x:c>
      <x:c r="J31" s="52"/>
      <x:c r="K31" s="52"/>
      <x:c r="L31" s="50"/>
    </x:row>
    <x:row r="32">
      <x:c r="A32" s="47" t="str">
        <x:v>H World Group Limited</x:v>
      </x:c>
      <x:c r="B32" s="47" t="str">
        <x:v>HTHT</x:v>
      </x:c>
      <x:c r="C32" s="47" t="str">
        <x:v>Yes | HKEX 1179</x:v>
      </x:c>
      <x:c r="D32" s="47" t="n">
        <x:v>1</x:v>
      </x:c>
      <x:c r="E32" s="52" t="n">
        <x:v>1000</x:v>
      </x:c>
      <x:c r="F32" s="52" t="n">
        <x:v>428</x:v>
      </x:c>
      <x:c r="G32" s="52" t="n">
        <x:v>572</x:v>
      </x:c>
      <x:c r="H32" s="58" t="n">
        <x:v>0.428</x:v>
      </x:c>
      <x:c r="I32" s="50" t="n">
        <x:v>47350</x:v>
      </x:c>
      <x:c r="J32" s="52"/>
      <x:c r="K32" s="52"/>
      <x:c r="L32" s="50"/>
    </x:row>
    <x:row r="33">
      <x:c r="A33" s="47" t="str">
        <x:v>Bilibili Inc.</x:v>
      </x:c>
      <x:c r="B33" s="47" t="str">
        <x:v>BILI</x:v>
      </x:c>
      <x:c r="C33" s="47" t="str">
        <x:v>Yes | HKEX 9626</x:v>
      </x:c>
      <x:c r="D33" s="47" t="n">
        <x:v>1</x:v>
      </x:c>
      <x:c r="E33" s="52" t="n">
        <x:v>300</x:v>
      </x:c>
      <x:c r="F33" s="52" t="n">
        <x:v>31.3</x:v>
      </x:c>
      <x:c r="G33" s="52" t="n">
        <x:v>268.7</x:v>
      </x:c>
      <x:c r="H33" s="58" t="n">
        <x:v>0.10433333333333333</x:v>
      </x:c>
      <x:c r="I33" s="50" t="n">
        <x:v>46927</x:v>
      </x:c>
      <x:c r="J33" s="52"/>
      <x:c r="K33" s="52"/>
      <x:c r="L33" s="50"/>
    </x:row>
    <x:row r="34">
      <x:c r="A34" s="47" t="str">
        <x:v>Vipshop Holdings Limited</x:v>
      </x:c>
      <x:c r="B34" s="47" t="str">
        <x:v>VIPS</x:v>
      </x:c>
      <x:c r="C34" s="47" t="str">
        <x:v>No |</x:v>
      </x:c>
      <x:c r="D34" s="47" t="n">
        <x:v>1</x:v>
      </x:c>
      <x:c r="E34" s="52" t="n">
        <x:v>1000</x:v>
      </x:c>
      <x:c r="F34" s="52" t="n">
        <x:v>684</x:v>
      </x:c>
      <x:c r="G34" s="52" t="n">
        <x:v>316</x:v>
      </x:c>
      <x:c r="H34" s="58" t="n">
        <x:v>0.684</x:v>
      </x:c>
      <x:c r="I34" s="50" t="n">
        <x:v>46446</x:v>
      </x:c>
      <x:c r="J34" s="52"/>
      <x:c r="K34" s="52"/>
      <x:c r="L34" s="50"/>
    </x:row>
    <x:row r="35">
      <x:c r="A35" s="47" t="str">
        <x:v>TAL Education Group</x:v>
      </x:c>
      <x:c r="B35" s="47" t="str">
        <x:v>TAL</x:v>
      </x:c>
      <x:c r="C35" s="47" t="str">
        <x:v>No |</x:v>
      </x:c>
      <x:c r="D35" s="47" t="n">
        <x:v>1</x:v>
      </x:c>
      <x:c r="E35" s="52" t="n">
        <x:v>600</x:v>
      </x:c>
      <x:c r="F35" s="52" t="n">
        <x:v>206.3</x:v>
      </x:c>
      <x:c r="G35" s="52" t="n">
        <x:v>393.7</x:v>
      </x:c>
      <x:c r="H35" s="58" t="n">
        <x:v>0.3438333333333334</x:v>
      </x:c>
      <x:c r="I35" s="50" t="n">
        <x:v>46596</x:v>
      </x:c>
      <x:c r="J35" s="52"/>
      <x:c r="K35" s="52"/>
      <x:c r="L35" s="50"/>
    </x:row>
    <x:row r="36">
      <x:c r="A36" s="47" t="str">
        <x:v>New Oriental Education &amp; Technology Group Inc.</x:v>
      </x:c>
      <x:c r="B36" s="47" t="str">
        <x:v>EDU</x:v>
      </x:c>
      <x:c r="C36" s="47" t="str">
        <x:v>Yes | HKEX 9901</x:v>
      </x:c>
      <x:c r="D36" s="47" t="n">
        <x:v>2</x:v>
      </x:c>
      <x:c r="E36" s="52" t="n">
        <x:v>300</x:v>
      </x:c>
      <x:c r="F36" s="52" t="n">
        <x:v>274</x:v>
      </x:c>
      <x:c r="G36" s="52" t="n">
        <x:v>26</x:v>
      </x:c>
      <x:c r="H36" s="58" t="n">
        <x:v>0.9133333333333333</x:v>
      </x:c>
      <x:c r="I36" s="50" t="n">
        <x:v>46322</x:v>
      </x:c>
      <x:c r="J36" s="52" t="n">
        <x:v>200</x:v>
      </x:c>
      <x:c r="K36" s="52"/>
      <x:c r="L36" s="50" t="n">
        <x:v>46596</x:v>
      </x:c>
    </x:row>
    <x:row r="37">
      <x:c r="A37" s="47" t="str">
        <x:v>KANZHUN LIMITED</x:v>
      </x:c>
      <x:c r="B37" s="47" t="str">
        <x:v>BZ</x:v>
      </x:c>
      <x:c r="C37" s="47" t="str">
        <x:v>Yes | HKEX 2076</x:v>
      </x:c>
      <x:c r="D37" s="47" t="n">
        <x:v>1</x:v>
      </x:c>
      <x:c r="E37" s="52" t="n">
        <x:v>400</x:v>
      </x:c>
      <x:c r="F37" s="52" t="n">
        <x:v>303.6064317401365</x:v>
      </x:c>
      <x:c r="G37" s="52" t="n">
        <x:v>96.39356825986351</x:v>
      </x:c>
      <x:c r="H37" s="58" t="n">
        <x:v>0.7590160793503412</x:v>
      </x:c>
      <x:c r="I37" s="50" t="n">
        <x:v>46627</x:v>
      </x:c>
      <x:c r="J37" s="52"/>
      <x:c r="K37" s="52"/>
      <x:c r="L37" s="50"/>
    </x:row>
    <x:row r="38">
      <x:c r="A38" s="47" t="str">
        <x:v>Qfin Holdings, Inc.</x:v>
      </x:c>
      <x:c r="B38" s="47" t="str">
        <x:v>QFIN</x:v>
      </x:c>
      <x:c r="C38" s="47" t="str">
        <x:v>Yes | HKEX 3660</x:v>
      </x:c>
      <x:c r="D38" s="47" t="n">
        <x:v>1</x:v>
      </x:c>
      <x:c r="E38" s="52" t="n">
        <x:v>677</x:v>
      </x:c>
      <x:c r="F38" s="52" t="n">
        <x:v>227</x:v>
      </x:c>
      <x:c r="G38" s="52" t="n">
        <x:v>450</x:v>
      </x:c>
      <x:c r="H38" s="58" t="n">
        <x:v>0.3353028064992615</x:v>
      </x:c>
      <x:c r="I38" s="50" t="str">
        <x:v>No definitive term disclosed</x:v>
      </x:c>
      <x:c r="J38" s="52"/>
      <x:c r="K38" s="52"/>
      <x:c r="L38" s="50"/>
    </x:row>
    <x:row r="39">
      <x:c r="A39" s="47" t="str">
        <x:v>MINISO Group Holding Limited</x:v>
      </x:c>
      <x:c r="B39" s="47" t="str">
        <x:v>MNSO</x:v>
      </x:c>
      <x:c r="C39" s="47" t="str">
        <x:v>Yes | HKEX 9896</x:v>
      </x:c>
      <x:c r="D39" s="47" t="n">
        <x:v>1</x:v>
      </x:c>
      <x:c r="E39" s="52" t="n">
        <x:v>256.4102564102564</x:v>
      </x:c>
      <x:c r="F39" s="52"/>
      <x:c r="G39" s="52"/>
      <x:c r="H39" s="58"/>
      <x:c r="I39" s="50" t="n">
        <x:v>46567</x:v>
      </x:c>
      <x:c r="J39" s="52"/>
      <x:c r="K39" s="52"/>
      <x:c r="L39" s="50"/>
    </x:row>
    <x:row r="40">
      <x:c r="A40" s="47" t="str">
        <x:v>WeRide Inc.</x:v>
      </x:c>
      <x:c r="B40" s="47" t="str">
        <x:v>WRD</x:v>
      </x:c>
      <x:c r="C40" s="47" t="str">
        <x:v>Yes | HKEX 0800</x:v>
      </x:c>
      <x:c r="D40" s="47" t="n">
        <x:v>1</x:v>
      </x:c>
      <x:c r="E40" s="52" t="n">
        <x:v>100</x:v>
      </x:c>
      <x:c r="F40" s="52" t="n">
        <x:v>99.633</x:v>
      </x:c>
      <x:c r="G40" s="52" t="n">
        <x:v>0.36700000000000443</x:v>
      </x:c>
      <x:c r="H40" s="58" t="n">
        <x:v>0.9963299999999999</x:v>
      </x:c>
      <x:c r="I40" s="50" t="n">
        <x:v>46468</x:v>
      </x:c>
      <x:c r="J40" s="52"/>
      <x:c r="K40" s="52"/>
      <x:c r="L40" s="50"/>
    </x:row>
    <x:row r="41">
      <x:c r="A41" s="47" t="str">
        <x:v>Atour Lifestyle Holdings Limited</x:v>
      </x:c>
      <x:c r="B41" s="47" t="str">
        <x:v>ATAT</x:v>
      </x:c>
      <x:c r="C41" s="47" t="str">
        <x:v>No |</x:v>
      </x:c>
      <x:c r="D41" s="47" t="n">
        <x:v>1</x:v>
      </x:c>
      <x:c r="E41" s="52" t="n">
        <x:v>400</x:v>
      </x:c>
      <x:c r="F41" s="52" t="n">
        <x:v>46</x:v>
      </x:c>
      <x:c r="G41" s="52" t="n">
        <x:v>354</x:v>
      </x:c>
      <x:c r="H41" s="58" t="n">
        <x:v>0.115</x:v>
      </x:c>
      <x:c r="I41" s="50" t="n">
        <x:v>46894</x:v>
      </x:c>
      <x:c r="J41" s="52"/>
      <x:c r="K41" s="52"/>
      <x:c r="L41" s="50"/>
    </x:row>
    <x:row r="42">
      <x:c r="A42" s="47" t="str">
        <x:v>RLX Technology Inc.</x:v>
      </x:c>
      <x:c r="B42" s="47" t="str">
        <x:v>RLX</x:v>
      </x:c>
      <x:c r="C42" s="47" t="str">
        <x:v>No |</x:v>
      </x:c>
      <x:c r="D42" s="47" t="n">
        <x:v>1</x:v>
      </x:c>
      <x:c r="E42" s="52" t="n">
        <x:v>500</x:v>
      </x:c>
      <x:c r="F42" s="52" t="n">
        <x:v>330</x:v>
      </x:c>
      <x:c r="G42" s="52" t="n">
        <x:v>170</x:v>
      </x:c>
      <x:c r="H42" s="58" t="n">
        <x:v>0.66</x:v>
      </x:c>
      <x:c r="I42" s="50" t="n">
        <x:v>46752</x:v>
      </x:c>
      <x:c r="J42" s="52"/>
      <x:c r="K42" s="52"/>
      <x:c r="L42" s="50"/>
    </x:row>
    <x:row r="43">
      <x:c r="A43" s="47" t="str">
        <x:v>Autohome Inc.</x:v>
      </x:c>
      <x:c r="B43" s="47" t="str">
        <x:v>ATHM</x:v>
      </x:c>
      <x:c r="C43" s="47" t="str">
        <x:v>Yes | HKEX 2518</x:v>
      </x:c>
      <x:c r="D43" s="47" t="n">
        <x:v>1</x:v>
      </x:c>
      <x:c r="E43" s="52" t="n">
        <x:v>400</x:v>
      </x:c>
      <x:c r="F43" s="52" t="n">
        <x:v>43.6</x:v>
      </x:c>
      <x:c r="G43" s="52" t="n">
        <x:v>356.4</x:v>
      </x:c>
      <x:c r="H43" s="58" t="n">
        <x:v>0.109</x:v>
      </x:c>
      <x:c r="I43" s="50" t="n">
        <x:v>46595</x:v>
      </x:c>
      <x:c r="J43" s="52"/>
      <x:c r="K43" s="52"/>
      <x:c r="L43" s="50"/>
    </x:row>
    <x:row r="44">
      <x:c r="A44" s="47" t="str">
        <x:v>Weibo Corporation</x:v>
      </x:c>
      <x:c r="B44" s="47" t="str">
        <x:v>WB</x:v>
      </x:c>
      <x:c r="C44" s="47" t="str">
        <x:v>Yes | HKEX 9898</x:v>
      </x:c>
      <x:c r="D44" s="47" t="n">
        <x:v>1</x:v>
      </x:c>
      <x:c r="E44" s="52" t="n">
        <x:v>200</x:v>
      </x:c>
      <x:c r="F44" s="52"/>
      <x:c r="G44" s="52"/>
      <x:c r="H44" s="58"/>
      <x:c r="I44" s="50" t="n">
        <x:v>46387</x:v>
      </x:c>
      <x:c r="J44" s="52"/>
      <x:c r="K44" s="52"/>
      <x:c r="L44" s="50"/>
    </x:row>
    <x:row r="45">
      <x:c r="A45" s="47" t="str">
        <x:v>iQIYI, Inc.</x:v>
      </x:c>
      <x:c r="B45" s="47" t="str">
        <x:v>IQ</x:v>
      </x:c>
      <x:c r="C45" s="47" t="str">
        <x:v>Pending | HKEX (proposed) Pending</x:v>
      </x:c>
      <x:c r="D45" s="47" t="n">
        <x:v>1</x:v>
      </x:c>
      <x:c r="E45" s="52" t="n">
        <x:v>100</x:v>
      </x:c>
      <x:c r="F45" s="52" t="n">
        <x:v>24.1</x:v>
      </x:c>
      <x:c r="G45" s="52" t="n">
        <x:v>75.9</x:v>
      </x:c>
      <x:c r="H45" s="58" t="n">
        <x:v>0.24100000000000002</x:v>
      </x:c>
      <x:c r="I45" s="50" t="n">
        <x:v>46660</x:v>
      </x:c>
      <x:c r="J45" s="52"/>
      <x:c r="K45" s="52"/>
      <x:c r="L45" s="50"/>
    </x:row>
    <x:row r="46">
      <x:c r="A46" s="47" t="str">
        <x:v>GigaCloud Technology Inc.</x:v>
      </x:c>
      <x:c r="B46" s="47" t="str">
        <x:v>GCT</x:v>
      </x:c>
      <x:c r="C46" s="47" t="str">
        <x:v>No |</x:v>
      </x:c>
      <x:c r="D46" s="47" t="n">
        <x:v>1</x:v>
      </x:c>
      <x:c r="E46" s="52" t="n">
        <x:v>120</x:v>
      </x:c>
      <x:c r="F46" s="52"/>
      <x:c r="G46" s="52"/>
      <x:c r="H46" s="58"/>
      <x:c r="I46" s="50" t="n">
        <x:v>47335</x:v>
      </x:c>
      <x:c r="J46" s="52"/>
      <x:c r="K46" s="52"/>
      <x:c r="L46" s="50"/>
    </x:row>
  </x:sheetData>
  <x:mergeCells>
    <x:mergeCell ref="A1:L1"/>
    <x:mergeCell ref="A2:L2"/>
    <x:mergeCell ref="A4:L4"/>
    <x:mergeCell ref="A12:L12"/>
    <x:mergeCell ref="A20:L20"/>
    <x:mergeCell ref="B13:L13"/>
    <x:mergeCell ref="B14:L14"/>
    <x:mergeCell ref="B15:L15"/>
    <x:mergeCell ref="B16:L16"/>
    <x:mergeCell ref="B17:L17"/>
    <x:mergeCell ref="B18:L18"/>
  </x:mergeCells>
  <x:conditionalFormatting sqref="H22:H46">
    <x:cfRule type="dataBar" priority="1">
      <x:dataBar>
        <x:cfvo type="min"/>
        <x:cfvo type="max"/>
        <x:color rgb="FF156082"/>
      </x:dataBar>
      <x:extLst>
        <x:ext xmlns:x14="http://schemas.microsoft.com/office/spreadsheetml/2009/9/main" uri="{B025F937-C7B1-47D3-B67F-A62EFF666E3E}">
          <x14:id>{CE9F357E-FCC1-3751-A6B2-C6CA6A8C6E73}</x14:id>
        </x:ext>
      </x:extLst>
    </x:cfRule>
  </x:conditionalFormatting>
  <x:pageMargins left="0.7" right="0.7" top="0.75" bottom="0.75" header="0.3" footer="0.3"/>
  <x:tableParts count="1">
    <x:tablePart xmlns:r="http://schemas.openxmlformats.org/officeDocument/2006/relationships" r:id="Re45ae9e8d15a4f82"/>
  </x:tableParts>
  <x:extLst>
    <x:ext xmlns:x14="http://schemas.microsoft.com/office/spreadsheetml/2009/9/main" xmlns:xm="http://schemas.microsoft.com/office/excel/2006/main" uri="{78C0D931-6437-407d-A8EE-F0AAD7539E65}">
      <x14:conditionalFormattings>
        <x14:conditionalFormatting>
          <x14:cfRule type="dataBar" priority="1" id="{CE9F357E-FCC1-3751-A6B2-C6CA6A8C6E73}">
            <x14:dataBar gradient="1">
              <x14:cfvo type="min"/>
              <x14:cfvo type="max"/>
              <x14:fillColor rgb="FF156082"/>
            </x14:dataBar>
          </x14:cfRule>
          <xm:sqref>H22:H46</xm:sqref>
        </x14:conditionalFormatting>
      </x14:conditionalFormattings>
    </x:ext>
  </x:extLst>
</x:worksheet>
</file>

<file path=xl/worksheets/sheet2.xml><?xml version="1.0" encoding="utf-8"?>
<x:worksheet xmlns:x="http://schemas.openxmlformats.org/spreadsheetml/2006/main">
  <x:sheetFormatPr defaultRowHeight="15"/>
  <x:cols>
    <x:col min="1" max="1" width="30"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38" hidden="0" customWidth="1"/>
    <x:col min="9" max="9" width="13" hidden="0" customWidth="1"/>
    <x:col min="10" max="10" width="38" hidden="0" customWidth="1"/>
    <x:col min="11" max="11" width="14" hidden="0" customWidth="1"/>
    <x:col min="13" max="13" width="14" hidden="0" customWidth="1"/>
    <x:col min="14" max="14" width="14" hidden="0" customWidth="1"/>
    <x:col min="15" max="15" width="14" hidden="0" customWidth="1"/>
    <x:col min="17" max="17" width="14" hidden="0" customWidth="1"/>
    <x:col min="18" max="18" width="14" hidden="0" customWidth="1"/>
    <x:col min="19" max="19" width="14" hidden="0" customWidth="1"/>
    <x:col min="21" max="21" width="14" hidden="0" customWidth="1"/>
    <x:col min="22" max="22" width="14" hidden="0" customWidth="1"/>
    <x:col min="12" max="12" width="18" hidden="0" customWidth="1"/>
    <x:col min="16" max="16" width="18" hidden="0" customWidth="1"/>
    <x:col min="20" max="20" width="18" hidden="0" customWidth="1"/>
    <x:col min="23" max="23" width="18" hidden="0" customWidth="1"/>
    <x:col min="24" max="24" width="18" hidden="0" customWidth="1"/>
    <x:col min="25" max="25" width="18" hidden="0" customWidth="1"/>
    <x:col min="26" max="26" width="18" hidden="0" customWidth="1"/>
    <x:col min="28" max="28" width="18" hidden="0" customWidth="1"/>
    <x:col min="27" max="27" width="30" hidden="0" customWidth="1"/>
    <x:col min="29" max="29" width="42" hidden="0" customWidth="1"/>
    <x:col min="30" max="30" width="42" hidden="0" customWidth="1"/>
    <x:col min="31" max="31" width="42" hidden="0" customWidth="1"/>
    <x:col min="32" max="32" width="56" hidden="0" customWidth="1"/>
    <x:col min="33" max="33" width="48" hidden="0" customWidth="1"/>
    <x:col min="34" max="34" width="13" hidden="0" customWidth="1"/>
    <x:col min="35" max="35" width="38" hidden="0" customWidth="1"/>
    <x:col min="36" max="36" width="14" hidden="0" customWidth="1"/>
    <x:col min="38" max="38" width="14" hidden="0" customWidth="1"/>
    <x:col min="39" max="39" width="14" hidden="0" customWidth="1"/>
    <x:col min="40" max="40" width="14" hidden="0" customWidth="1"/>
    <x:col min="42" max="42" width="14" hidden="0" customWidth="1"/>
    <x:col min="43" max="43" width="14" hidden="0" customWidth="1"/>
    <x:col min="44" max="44" width="14" hidden="0" customWidth="1"/>
    <x:col min="46" max="46" width="14" hidden="0" customWidth="1"/>
    <x:col min="47" max="47" width="14" hidden="0" customWidth="1"/>
    <x:col min="37" max="37" width="18" hidden="0" customWidth="1"/>
    <x:col min="41" max="41" width="18" hidden="0" customWidth="1"/>
    <x:col min="45" max="45" width="18" hidden="0" customWidth="1"/>
    <x:col min="48" max="48" width="18" hidden="0" customWidth="1"/>
    <x:col min="49" max="49" width="18" hidden="0" customWidth="1"/>
    <x:col min="50" max="50" width="18" hidden="0" customWidth="1"/>
    <x:col min="51" max="51" width="18" hidden="0" customWidth="1"/>
    <x:col min="53" max="53" width="18" hidden="0" customWidth="1"/>
    <x:col min="52" max="52" width="30" hidden="0" customWidth="1"/>
    <x:col min="54" max="54" width="42" hidden="0" customWidth="1"/>
    <x:col min="55" max="55" width="42" hidden="0" customWidth="1"/>
    <x:col min="56" max="56" width="42" hidden="0" customWidth="1"/>
    <x:col min="57" max="57" width="56" hidden="0" customWidth="1"/>
    <x:col min="58" max="58" width="48" hidden="0" customWidth="1"/>
  </x:cols>
  <x:sheetData>
    <x:row r="1">
      <x:c r="A1" s="4" t="str">
        <x:v>Active Share Buyback Programs — Issuer View</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row>
    <x:row r="2">
      <x:c r="A2" s="43" t="str">
        <x:v>Cutoff: 2026-08-21. Program 2 columns are populated only where a second active authorization exists. Trip.com per-program execution remains blank because issuer disclosure is aggregate.</x:v>
      </x:c>
      <x:c r="B2" s="43"/>
      <x:c r="C2" s="43"/>
      <x:c r="D2" s="43"/>
      <x:c r="E2" s="43"/>
      <x:c r="F2" s="43"/>
      <x:c r="G2" s="43"/>
      <x:c r="H2" s="43"/>
      <x:c r="I2" s="43"/>
      <x:c r="J2" s="43"/>
      <x:c r="K2" s="43"/>
      <x:c r="L2" s="43"/>
      <x:c r="M2" s="43"/>
      <x:c r="N2" s="43"/>
      <x:c r="O2" s="43"/>
      <x:c r="P2" s="43"/>
      <x:c r="Q2" s="43"/>
      <x:c r="R2" s="43"/>
      <x:c r="S2" s="43"/>
      <x:c r="T2" s="43"/>
      <x:c r="U2" s="43"/>
      <x:c r="V2" s="43"/>
      <x:c r="W2" s="43"/>
      <x:c r="X2" s="43"/>
      <x:c r="Y2" s="43"/>
      <x:c r="Z2" s="43"/>
      <x:c r="AA2" s="43"/>
      <x:c r="AB2" s="43"/>
      <x:c r="AC2" s="43"/>
      <x:c r="AD2" s="43"/>
      <x:c r="AE2" s="43"/>
      <x:c r="AF2" s="43"/>
      <x:c r="AG2" s="43"/>
      <x:c r="AH2" s="43"/>
      <x:c r="AI2" s="43"/>
      <x:c r="AJ2" s="43"/>
      <x:c r="AK2" s="43"/>
      <x:c r="AL2" s="43"/>
      <x:c r="AM2" s="43"/>
      <x:c r="AN2" s="43"/>
      <x:c r="AO2" s="43"/>
      <x:c r="AP2" s="43"/>
      <x:c r="AQ2" s="43"/>
      <x:c r="AR2" s="43"/>
      <x:c r="AS2" s="43"/>
      <x:c r="AT2" s="43"/>
      <x:c r="AU2" s="43"/>
      <x:c r="AV2" s="43"/>
      <x:c r="AW2" s="43"/>
      <x:c r="AX2" s="43"/>
      <x:c r="AY2" s="43"/>
      <x:c r="AZ2" s="43"/>
      <x:c r="BA2" s="43"/>
      <x:c r="BB2" s="43"/>
      <x:c r="BC2" s="43"/>
      <x:c r="BD2" s="43"/>
      <x:c r="BE2" s="43"/>
      <x:c r="BF2" s="43"/>
    </x:row>
    <x:row r="3">
      <x:c r="A3" s="24" t="str">
        <x:v>Issuer / Listing</x:v>
      </x:c>
      <x:c r="B3" s="24"/>
      <x:c r="C3" s="24"/>
      <x:c r="D3" s="24"/>
      <x:c r="E3" s="24"/>
      <x:c r="F3" s="24"/>
      <x:c r="G3" s="24"/>
      <x:c r="H3" s="24"/>
      <x:c r="I3" s="71" t="str">
        <x:v>Program 1</x:v>
      </x:c>
      <x:c r="J3" s="71"/>
      <x:c r="K3" s="71"/>
      <x:c r="L3" s="71"/>
      <x:c r="M3" s="71"/>
      <x:c r="N3" s="71"/>
      <x:c r="O3" s="71"/>
      <x:c r="P3" s="71"/>
      <x:c r="Q3" s="71"/>
      <x:c r="R3" s="71"/>
      <x:c r="S3" s="71"/>
      <x:c r="T3" s="71"/>
      <x:c r="U3" s="71"/>
      <x:c r="V3" s="71"/>
      <x:c r="W3" s="71"/>
      <x:c r="X3" s="71"/>
      <x:c r="Y3" s="71"/>
      <x:c r="Z3" s="71"/>
      <x:c r="AA3" s="71"/>
      <x:c r="AB3" s="71"/>
      <x:c r="AC3" s="71"/>
      <x:c r="AD3" s="71"/>
      <x:c r="AE3" s="71"/>
      <x:c r="AF3" s="71"/>
      <x:c r="AG3" s="71"/>
      <x:c r="AH3" s="79" t="str">
        <x:v>Program 2 (if applicable)</x:v>
      </x:c>
      <x:c r="AI3" s="79"/>
      <x:c r="AJ3" s="79"/>
      <x:c r="AK3" s="79"/>
      <x:c r="AL3" s="79"/>
      <x:c r="AM3" s="79"/>
      <x:c r="AN3" s="79"/>
      <x:c r="AO3" s="79"/>
      <x:c r="AP3" s="79"/>
      <x:c r="AQ3" s="79"/>
      <x:c r="AR3" s="79"/>
      <x:c r="AS3" s="79"/>
      <x:c r="AT3" s="79"/>
      <x:c r="AU3" s="79"/>
      <x:c r="AV3" s="79"/>
      <x:c r="AW3" s="79"/>
      <x:c r="AX3" s="79"/>
      <x:c r="AY3" s="79"/>
      <x:c r="AZ3" s="79"/>
      <x:c r="BA3" s="79"/>
      <x:c r="BB3" s="79"/>
      <x:c r="BC3" s="79"/>
      <x:c r="BD3" s="79"/>
      <x:c r="BE3" s="79"/>
      <x:c r="BF3" s="79"/>
    </x:row>
    <x:row r="4" ht="48" customHeight="1">
      <x:c r="A4" s="11" t="str">
        <x:v>Company</x:v>
      </x:c>
      <x:c r="B4" s="11" t="str">
        <x:v>US Ticker</x:v>
      </x:c>
      <x:c r="C4" s="11" t="str">
        <x:v>US Exchange</x:v>
      </x:c>
      <x:c r="D4" s="11" t="str">
        <x:v>Dual / Other Listed?</x:v>
      </x:c>
      <x:c r="E4" s="11" t="str">
        <x:v>Other Exchange</x:v>
      </x:c>
      <x:c r="F4" s="11" t="str">
        <x:v>Other Ticker</x:v>
      </x:c>
      <x:c r="G4" s="11" t="str">
        <x:v>Active Program Count</x:v>
      </x:c>
      <x:c r="H4" s="11" t="str">
        <x:v>Overall Status</x:v>
      </x:c>
      <x:c r="I4" s="11" t="str">
        <x:v>P1 Announcement Date</x:v>
      </x:c>
      <x:c r="J4" s="11" t="str">
        <x:v>P1 Program Description</x:v>
      </x:c>
      <x:c r="K4" s="11" t="str">
        <x:v>P1 Limit Native (mm)</x:v>
      </x:c>
      <x:c r="L4" s="11" t="str">
        <x:v>P1 Authorization Currency</x:v>
      </x:c>
      <x:c r="M4" s="11" t="str">
        <x:v>P1 FX: Native / USD</x:v>
      </x:c>
      <x:c r="N4" s="11" t="str">
        <x:v>P1 Program Limit (US$mm)</x:v>
      </x:c>
      <x:c r="O4" s="11" t="str">
        <x:v>P1 Executed Native (mm)</x:v>
      </x:c>
      <x:c r="P4" s="11" t="str">
        <x:v>P1 Execution Currency</x:v>
      </x:c>
      <x:c r="Q4" s="11" t="str">
        <x:v>P1 Execution FX</x:v>
      </x:c>
      <x:c r="R4" s="11" t="str">
        <x:v>P1 Executed (US$mm)</x:v>
      </x:c>
      <x:c r="S4" s="11" t="str">
        <x:v>P1 Shares Executed (mm)</x:v>
      </x:c>
      <x:c r="T4" s="11" t="str">
        <x:v>P1 Share Unit</x:v>
      </x:c>
      <x:c r="U4" s="11" t="str">
        <x:v>P1 Remaining (US$mm)</x:v>
      </x:c>
      <x:c r="V4" s="11" t="str">
        <x:v>P1 Completion %</x:v>
      </x:c>
      <x:c r="W4" s="11" t="str">
        <x:v>P1 Target / Expiry</x:v>
      </x:c>
      <x:c r="X4" s="11" t="str">
        <x:v>P1 Data As Of</x:v>
      </x:c>
      <x:c r="Y4" s="11" t="str">
        <x:v>P1 Latest Report Date</x:v>
      </x:c>
      <x:c r="Z4" s="11" t="str">
        <x:v>P1 Latest Report Type</x:v>
      </x:c>
      <x:c r="AA4" s="11" t="str">
        <x:v>P1 Amount Basis</x:v>
      </x:c>
      <x:c r="AB4" s="11" t="str">
        <x:v>P1 Evidence Quality</x:v>
      </x:c>
      <x:c r="AC4" s="11" t="str">
        <x:v>P1 Latest Report URL</x:v>
      </x:c>
      <x:c r="AD4" s="11" t="str">
        <x:v>P1 Announcement URL</x:v>
      </x:c>
      <x:c r="AE4" s="11" t="str">
        <x:v>P1 Execution Evidence URL</x:v>
      </x:c>
      <x:c r="AF4" s="11" t="str">
        <x:v>P1 Method / Reconciliation</x:v>
      </x:c>
      <x:c r="AG4" s="11" t="str">
        <x:v>P1 Notes</x:v>
      </x:c>
      <x:c r="AH4" s="11" t="str">
        <x:v>P2 Announcement Date</x:v>
      </x:c>
      <x:c r="AI4" s="11" t="str">
        <x:v>P2 Program Description</x:v>
      </x:c>
      <x:c r="AJ4" s="11" t="str">
        <x:v>P2 Limit Native (mm)</x:v>
      </x:c>
      <x:c r="AK4" s="11" t="str">
        <x:v>P2 Authorization Currency</x:v>
      </x:c>
      <x:c r="AL4" s="11" t="str">
        <x:v>P2 FX: Native / USD</x:v>
      </x:c>
      <x:c r="AM4" s="11" t="str">
        <x:v>P2 Program Limit (US$mm)</x:v>
      </x:c>
      <x:c r="AN4" s="11" t="str">
        <x:v>P2 Executed Native (mm)</x:v>
      </x:c>
      <x:c r="AO4" s="11" t="str">
        <x:v>P2 Execution Currency</x:v>
      </x:c>
      <x:c r="AP4" s="11" t="str">
        <x:v>P2 Execution FX</x:v>
      </x:c>
      <x:c r="AQ4" s="11" t="str">
        <x:v>P2 Executed (US$mm)</x:v>
      </x:c>
      <x:c r="AR4" s="11" t="str">
        <x:v>P2 Shares Executed (mm)</x:v>
      </x:c>
      <x:c r="AS4" s="11" t="str">
        <x:v>P2 Share Unit</x:v>
      </x:c>
      <x:c r="AT4" s="11" t="str">
        <x:v>P2 Remaining (US$mm)</x:v>
      </x:c>
      <x:c r="AU4" s="11" t="str">
        <x:v>P2 Completion %</x:v>
      </x:c>
      <x:c r="AV4" s="11" t="str">
        <x:v>P2 Target / Expiry</x:v>
      </x:c>
      <x:c r="AW4" s="11" t="str">
        <x:v>P2 Data As Of</x:v>
      </x:c>
      <x:c r="AX4" s="11" t="str">
        <x:v>P2 Latest Report Date</x:v>
      </x:c>
      <x:c r="AY4" s="11" t="str">
        <x:v>P2 Latest Report Type</x:v>
      </x:c>
      <x:c r="AZ4" s="11" t="str">
        <x:v>P2 Amount Basis</x:v>
      </x:c>
      <x:c r="BA4" s="11" t="str">
        <x:v>P2 Evidence Quality</x:v>
      </x:c>
      <x:c r="BB4" s="11" t="str">
        <x:v>P2 Latest Report URL</x:v>
      </x:c>
      <x:c r="BC4" s="11" t="str">
        <x:v>P2 Announcement URL</x:v>
      </x:c>
      <x:c r="BD4" s="11" t="str">
        <x:v>P2 Execution Evidence URL</x:v>
      </x:c>
      <x:c r="BE4" s="11" t="str">
        <x:v>P2 Method / Reconciliation</x:v>
      </x:c>
      <x:c r="BF4" s="11" t="str">
        <x:v>P2 Notes</x:v>
      </x:c>
    </x:row>
    <x:row r="5">
      <x:c r="A5" s="47" t="str">
        <x:v>Alibaba Group Holding Ltd</x:v>
      </x:c>
      <x:c r="B5" s="47" t="str">
        <x:v>BABA</x:v>
      </x:c>
      <x:c r="C5" s="47" t="str">
        <x:v>NYSE</x:v>
      </x:c>
      <x:c r="D5" s="47" t="str">
        <x:v>Yes</x:v>
      </x:c>
      <x:c r="E5" s="47" t="str">
        <x:v>HKEX</x:v>
      </x:c>
      <x:c r="F5" s="47" t="str">
        <x:v>9988 / 89988</x:v>
      </x:c>
      <x:c r="G5" s="47" t="n">
        <x:v>1</x:v>
      </x:c>
      <x:c r="H5" s="39" t="str">
        <x:v>Active formal issuer repurchase authorization</x:v>
      </x:c>
      <x:c r="I5" s="50" t="n">
        <x:v>45329</x:v>
      </x:c>
      <x:c r="J5" s="39" t="str">
        <x:v>US$25bn upsize; aggregate authorization became US$35.3bn through Mar-2027.</x:v>
      </x:c>
      <x:c r="K5" s="60" t="n">
        <x:v>35300</x:v>
      </x:c>
      <x:c r="L5" s="47" t="str">
        <x:v>USD</x:v>
      </x:c>
      <x:c r="M5" s="62" t="n">
        <x:v>1</x:v>
      </x:c>
      <x:c r="N5" s="66" t="n">
        <x:f>IF(OR(K5="",M5=""),"",K5/M5)</x:f>
        <x:v>35300</x:v>
      </x:c>
      <x:c r="O5" s="60" t="n">
        <x:v>16362</x:v>
      </x:c>
      <x:c r="P5" s="47" t="str">
        <x:v>USD</x:v>
      </x:c>
      <x:c r="Q5" s="62" t="n">
        <x:v>1</x:v>
      </x:c>
      <x:c r="R5" s="66" t="n">
        <x:f>IF(OR(O5="",Q5=""),"",O5/Q5)</x:f>
        <x:v>16362</x:v>
      </x:c>
      <x:c r="S5" s="64"/>
      <x:c r="T5" s="47"/>
      <x:c r="U5" s="66" t="n">
        <x:f>IF(OR(N5="",R5=""),"",MAX(0,N5-R5))</x:f>
        <x:v>18938</x:v>
      </x:c>
      <x:c r="V5" s="100" t="n">
        <x:f>IF(OR(N5="",R5="",N5=0),"",R5/N5)</x:f>
        <x:v>0.4635127478753541</x:v>
      </x:c>
      <x:c r="W5" s="50" t="n">
        <x:v>46477</x:v>
      </x:c>
      <x:c r="X5" s="50" t="n">
        <x:v>46203</x:v>
      </x:c>
      <x:c r="Y5" s="50" t="n">
        <x:v>46254</x:v>
      </x:c>
      <x:c r="Z5" s="47" t="str">
        <x:v>June quarter 2026 results + FY2026 annual report cross-check</x:v>
      </x:c>
      <x:c r="AA5" s="47" t="str">
        <x:v>Calculated from disclosed remaining capacity; latest-quarter purchase added</x:v>
      </x:c>
      <x:c r="AB5" s="47" t="str">
        <x:v>B</x:v>
      </x:c>
      <x:c r="AC5" s="47" t="str">
        <x:v>https://data.alibabagroup.com/ecms-files/1532295521/fa5d65fc-9b3e-4e82-a8fc-4ce1c3e2c407/Alibaba%20Group%20Announces%20June%20Quarter%202026%20Results.pdf</x:v>
      </x:c>
      <x:c r="AD5" s="47" t="str">
        <x:v>https://www.sec.gov/Archives/edgar/data/1577552/000110465924011604/tm245446d1_ex99-1.htm</x:v>
      </x:c>
      <x:c r="AE5" s="47" t="str">
        <x:v>https://home.alibabagroup.com/en-US/document-1910550772471300096</x:v>
      </x:c>
      <x:c r="AF5" s="39" t="str">
        <x:v>US$35.3bn authorization less US$19.1bn remaining at 30-Sep-2025 plus US$162m June-quarter 2026 repurchases. FY2026 annual report shows no Oct-2025–Mar-2026 repurchases, avoiding double count.</x:v>
      </x:c>
      <x:c r="AG5" s="39" t="str">
        <x:v>Program-to-date share count is not cleanly restated. Latest quarter: 13.4m ordinary shares (~1.7m ADSs) for US$162m.</x:v>
      </x:c>
      <x:c r="AH5" s="50"/>
      <x:c r="AI5" s="39"/>
      <x:c r="AJ5" s="60"/>
      <x:c r="AK5" s="47"/>
      <x:c r="AL5" s="62"/>
      <x:c r="AM5" s="66"/>
      <x:c r="AN5" s="60"/>
      <x:c r="AO5" s="47"/>
      <x:c r="AP5" s="62"/>
      <x:c r="AQ5" s="66"/>
      <x:c r="AR5" s="64"/>
      <x:c r="AS5" s="47"/>
      <x:c r="AT5" s="66"/>
      <x:c r="AU5" s="100"/>
      <x:c r="AV5" s="50"/>
      <x:c r="AW5" s="50"/>
      <x:c r="AX5" s="50"/>
      <x:c r="AY5" s="47"/>
      <x:c r="AZ5" s="47"/>
      <x:c r="BA5" s="47"/>
      <x:c r="BB5" s="47"/>
      <x:c r="BC5" s="47"/>
      <x:c r="BD5" s="47"/>
      <x:c r="BE5" s="39"/>
      <x:c r="BF5" s="39"/>
    </x:row>
    <x:row r="6">
      <x:c r="A6" s="47" t="str">
        <x:v>NetEase, Inc.</x:v>
      </x:c>
      <x:c r="B6" s="47" t="str">
        <x:v>NTES</x:v>
      </x:c>
      <x:c r="C6" s="47" t="str">
        <x:v>NASDAQ GS</x:v>
      </x:c>
      <x:c r="D6" s="47" t="str">
        <x:v>Yes</x:v>
      </x:c>
      <x:c r="E6" s="47" t="str">
        <x:v>HKEX</x:v>
      </x:c>
      <x:c r="F6" s="47" t="str">
        <x:v>9999</x:v>
      </x:c>
      <x:c r="G6" s="47" t="n">
        <x:v>1</x:v>
      </x:c>
      <x:c r="H6" s="39" t="str">
        <x:v>Active formal issuer repurchase authorization</x:v>
      </x:c>
      <x:c r="I6" s="50" t="n">
        <x:v>45981</x:v>
      </x:c>
      <x:c r="J6" s="39" t="str">
        <x:v>Existing US$5.0bn program extended for another 36 months.</x:v>
      </x:c>
      <x:c r="K6" s="60" t="n">
        <x:v>5000</x:v>
      </x:c>
      <x:c r="L6" s="47" t="str">
        <x:v>USD</x:v>
      </x:c>
      <x:c r="M6" s="62" t="n">
        <x:v>1</x:v>
      </x:c>
      <x:c r="N6" s="66" t="n">
        <x:f>IF(OR(K6="",M6=""),"",K6/M6)</x:f>
        <x:v>5000</x:v>
      </x:c>
      <x:c r="O6" s="60" t="n">
        <x:v>2300</x:v>
      </x:c>
      <x:c r="P6" s="47" t="str">
        <x:v>USD</x:v>
      </x:c>
      <x:c r="Q6" s="62" t="n">
        <x:v>1</x:v>
      </x:c>
      <x:c r="R6" s="66" t="n">
        <x:f>IF(OR(O6="",Q6=""),"",O6/Q6)</x:f>
        <x:v>2300</x:v>
      </x:c>
      <x:c r="S6" s="64" t="n">
        <x:v>24.8</x:v>
      </x:c>
      <x:c r="T6" s="47" t="str">
        <x:v>ADSs (mm)</x:v>
      </x:c>
      <x:c r="U6" s="66" t="n">
        <x:f>IF(OR(N6="",R6=""),"",MAX(0,N6-R6))</x:f>
        <x:v>2700</x:v>
      </x:c>
      <x:c r="V6" s="100" t="n">
        <x:f>IF(OR(N6="",R6="",N6=0),"",R6/N6)</x:f>
        <x:v>0.46</x:v>
      </x:c>
      <x:c r="W6" s="50" t="n">
        <x:v>47127</x:v>
      </x:c>
      <x:c r="X6" s="50" t="n">
        <x:v>46203</x:v>
      </x:c>
      <x:c r="Y6" s="50" t="n">
        <x:v>46254</x:v>
      </x:c>
      <x:c r="Z6" s="47" t="str">
        <x:v>Q2 / H1 2026 results</x:v>
      </x:c>
      <x:c r="AA6" s="47" t="str">
        <x:v>Company-disclosed cumulative program spend</x:v>
      </x:c>
      <x:c r="AB6" s="47" t="str">
        <x:v>A</x:v>
      </x:c>
      <x:c r="AC6" s="47" t="str">
        <x:v>https://www.prnewswire.com/news-releases/netease-announces-second-quarter-and-interim-2026-unaudited-financial-results-302856259.html</x:v>
      </x:c>
      <x:c r="AD6" s="47" t="str">
        <x:v>https://ir.netease.com/news-releases/news-release-details/netease-announces-third-quarter-2025-unaudited-financial-results</x:v>
      </x:c>
      <x:c r="AE6" s="47" t="str">
        <x:v>https://www.prnewswire.com/news-releases/netease-announces-second-quarter-and-interim-2026-unaudited-financial-results-302856259.html</x:v>
      </x:c>
      <x:c r="AF6" s="39" t="str">
        <x:v>Company disclosed approximately 24.8m ADSs repurchased for approximately US$2.3bn cumulatively as of 30-Jun-2026.</x:v>
      </x:c>
      <x:c r="AG6" s="39" t="str">
        <x:v>1 ADS = 5 ordinary shares.</x:v>
      </x:c>
      <x:c r="AH6" s="50"/>
      <x:c r="AI6" s="39"/>
      <x:c r="AJ6" s="60"/>
      <x:c r="AK6" s="47"/>
      <x:c r="AL6" s="62"/>
      <x:c r="AM6" s="66"/>
      <x:c r="AN6" s="60"/>
      <x:c r="AO6" s="47"/>
      <x:c r="AP6" s="62"/>
      <x:c r="AQ6" s="66"/>
      <x:c r="AR6" s="64"/>
      <x:c r="AS6" s="47"/>
      <x:c r="AT6" s="66"/>
      <x:c r="AU6" s="100"/>
      <x:c r="AV6" s="50"/>
      <x:c r="AW6" s="50"/>
      <x:c r="AX6" s="50"/>
      <x:c r="AY6" s="47"/>
      <x:c r="AZ6" s="47"/>
      <x:c r="BA6" s="47"/>
      <x:c r="BB6" s="47"/>
      <x:c r="BC6" s="47"/>
      <x:c r="BD6" s="47"/>
      <x:c r="BE6" s="39"/>
      <x:c r="BF6" s="39"/>
    </x:row>
    <x:row r="7">
      <x:c r="A7" s="47" t="str">
        <x:v>JD.com, Inc.</x:v>
      </x:c>
      <x:c r="B7" s="47" t="str">
        <x:v>JD</x:v>
      </x:c>
      <x:c r="C7" s="47" t="str">
        <x:v>NASDAQ GS</x:v>
      </x:c>
      <x:c r="D7" s="47" t="str">
        <x:v>Yes</x:v>
      </x:c>
      <x:c r="E7" s="47" t="str">
        <x:v>HKEX</x:v>
      </x:c>
      <x:c r="F7" s="47" t="str">
        <x:v>9618 / 89618</x:v>
      </x:c>
      <x:c r="G7" s="47" t="n">
        <x:v>1</x:v>
      </x:c>
      <x:c r="H7" s="39" t="str">
        <x:v>Active formal issuer repurchase authorization</x:v>
      </x:c>
      <x:c r="I7" s="50" t="n">
        <x:v>45531</x:v>
      </x:c>
      <x:c r="J7" s="39" t="str">
        <x:v>New US$5.0bn program, effective Sep-2024 through end-Aug-2027.</x:v>
      </x:c>
      <x:c r="K7" s="60" t="n">
        <x:v>5000</x:v>
      </x:c>
      <x:c r="L7" s="47" t="str">
        <x:v>USD</x:v>
      </x:c>
      <x:c r="M7" s="62" t="n">
        <x:v>1</x:v>
      </x:c>
      <x:c r="N7" s="66" t="n">
        <x:f>IF(OR(K7="",M7=""),"",K7/M7)</x:f>
        <x:v>5000</x:v>
      </x:c>
      <x:c r="O7" s="60" t="n">
        <x:v>4000</x:v>
      </x:c>
      <x:c r="P7" s="47" t="str">
        <x:v>USD</x:v>
      </x:c>
      <x:c r="Q7" s="62" t="n">
        <x:v>1</x:v>
      </x:c>
      <x:c r="R7" s="66" t="n">
        <x:f>IF(OR(O7="",Q7=""),"",O7/Q7)</x:f>
        <x:v>4000</x:v>
      </x:c>
      <x:c r="S7" s="64" t="n">
        <x:v>126.5</x:v>
      </x:c>
      <x:c r="T7" s="47" t="str">
        <x:v>ADS equivalent (mm)</x:v>
      </x:c>
      <x:c r="U7" s="66" t="n">
        <x:f>IF(OR(N7="",R7=""),"",MAX(0,N7-R7))</x:f>
        <x:v>1000</x:v>
      </x:c>
      <x:c r="V7" s="100" t="n">
        <x:f>IF(OR(N7="",R7="",N7=0),"",R7/N7)</x:f>
        <x:v>0.8</x:v>
      </x:c>
      <x:c r="W7" s="50" t="n">
        <x:v>46630</x:v>
      </x:c>
      <x:c r="X7" s="50" t="n">
        <x:v>46203</x:v>
      </x:c>
      <x:c r="Y7" s="50" t="n">
        <x:v>46247</x:v>
      </x:c>
      <x:c r="Z7" s="47" t="str">
        <x:v>Q2 / interim 2026 results</x:v>
      </x:c>
      <x:c r="AA7" s="47" t="str">
        <x:v>Calculated from company-disclosed remaining authorization; share count accumulated from disclosed periods</x:v>
      </x:c>
      <x:c r="AB7" s="47" t="str">
        <x:v>A</x:v>
      </x:c>
      <x:c r="AC7" s="47" t="str">
        <x:v>https://ir.jd.com/news-releases/news-release-details/jdcom-announces-second-quarter-and-interim-2026-results</x:v>
      </x:c>
      <x:c r="AD7" s="47" t="str">
        <x:v>https://ir.jd.com/zh-hans/news-releases/news-release-details/jdcom-announces-us50-billion-new-share-repurchase-program</x:v>
      </x:c>
      <x:c r="AE7" s="47" t="str">
        <x:v>https://ir.jd.com/news-releases/news-release-details/jdcom-announces-second-quarter-and-interim-2026-results</x:v>
      </x:c>
      <x:c r="AF7" s="39" t="str">
        <x:v>US$1.0bn remaining at 30-Jun-2026 implies US$4.0bn executed. 91.6m ADS-equivalent in 2025 plus 34.9m in H1-2026.</x:v>
      </x:c>
      <x:c r="AG7" s="39" t="str">
        <x:v>1 ADS = 2 Class A ordinary shares.</x:v>
      </x:c>
      <x:c r="AH7" s="50"/>
      <x:c r="AI7" s="39"/>
      <x:c r="AJ7" s="60"/>
      <x:c r="AK7" s="47"/>
      <x:c r="AL7" s="62"/>
      <x:c r="AM7" s="66"/>
      <x:c r="AN7" s="60"/>
      <x:c r="AO7" s="47"/>
      <x:c r="AP7" s="62"/>
      <x:c r="AQ7" s="66"/>
      <x:c r="AR7" s="64"/>
      <x:c r="AS7" s="47"/>
      <x:c r="AT7" s="66"/>
      <x:c r="AU7" s="100"/>
      <x:c r="AV7" s="50"/>
      <x:c r="AW7" s="50"/>
      <x:c r="AX7" s="50"/>
      <x:c r="AY7" s="47"/>
      <x:c r="AZ7" s="47"/>
      <x:c r="BA7" s="47"/>
      <x:c r="BB7" s="47"/>
      <x:c r="BC7" s="47"/>
      <x:c r="BD7" s="47"/>
      <x:c r="BE7" s="39"/>
      <x:c r="BF7" s="39"/>
    </x:row>
    <x:row r="8">
      <x:c r="A8" s="47" t="str">
        <x:v>Trip.com Group Ltd</x:v>
      </x:c>
      <x:c r="B8" s="47" t="str">
        <x:v>TCOM</x:v>
      </x:c>
      <x:c r="C8" s="47" t="str">
        <x:v>NASDAQ GS</x:v>
      </x:c>
      <x:c r="D8" s="47" t="str">
        <x:v>Yes</x:v>
      </x:c>
      <x:c r="E8" s="47" t="str">
        <x:v>HKEX</x:v>
      </x:c>
      <x:c r="F8" s="47" t="str">
        <x:v>9961</x:v>
      </x:c>
      <x:c r="G8" s="47" t="n">
        <x:v>2</x:v>
      </x:c>
      <x:c r="H8" s="39" t="str">
        <x:v>Two active authorizations; issuer reports some residual capacity in aggregate, so program-by-program execution is not fully separable.</x:v>
      </x:c>
      <x:c r="I8" s="50" t="n">
        <x:v>45896</x:v>
      </x:c>
      <x:c r="J8" s="39" t="str">
        <x:v>New multi-year repurchase authorization up to US$5.0bn; no set expiration date.</x:v>
      </x:c>
      <x:c r="K8" s="60" t="n">
        <x:v>5000</x:v>
      </x:c>
      <x:c r="L8" s="47" t="str">
        <x:v>USD</x:v>
      </x:c>
      <x:c r="M8" s="62" t="n">
        <x:v>1</x:v>
      </x:c>
      <x:c r="N8" s="66" t="n">
        <x:f>IF(OR(K8="",M8=""),"",K8/M8)</x:f>
        <x:v>5000</x:v>
      </x:c>
      <x:c r="O8" s="60"/>
      <x:c r="P8" s="47" t="str">
        <x:v>USD</x:v>
      </x:c>
      <x:c r="Q8" s="62" t="n">
        <x:v>1</x:v>
      </x:c>
      <x:c r="R8" s="66" t="str">
        <x:f>IF(OR(O8="",Q8=""),"",O8/Q8)</x:f>
      </x:c>
      <x:c r="S8" s="64"/>
      <x:c r="T8" s="47"/>
      <x:c r="U8" s="66" t="str">
        <x:f>IF(OR(N8="",R8=""),"",MAX(0,N8-R8))</x:f>
      </x:c>
      <x:c r="V8" s="100" t="str">
        <x:f>IF(OR(N8="",R8="",N8=0),"",R8/N8)</x:f>
      </x:c>
      <x:c r="W8" s="50" t="str">
        <x:v>No fixed expiry disclosed</x:v>
      </x:c>
      <x:c r="X8" s="50" t="n">
        <x:v>46022</x:v>
      </x:c>
      <x:c r="Y8" s="50" t="n">
        <x:v>46140</x:v>
      </x:c>
      <x:c r="Z8" s="47" t="str">
        <x:v>2025 Form 20-F</x:v>
      </x:c>
      <x:c r="AA8" s="47" t="str">
        <x:v>Per-program execution not separable in latest annual report</x:v>
      </x:c>
      <x:c r="AB8" s="47" t="str">
        <x:v>B</x:v>
      </x:c>
      <x:c r="AC8" s="47" t="str">
        <x:v>https://www.sec.gov/Archives/edgar/data/1269238/000119312526183379/d27369d20f.htm</x:v>
      </x:c>
      <x:c r="AD8" s="47" t="str">
        <x:v>https://www.sec.gov/Archives/edgar/data/1269238/000119312525190294/d908311dex991.htm</x:v>
      </x:c>
      <x:c r="AE8" s="47" t="str">
        <x:v>https://www.sec.gov/Archives/edgar/data/1269238/000119312526183379/d27369d20f.htm</x:v>
      </x:c>
      <x:c r="AF8" s="39" t="str">
        <x:v>Issuer disclosed approximately US$5.068bn of aggregate unused capacity across active plans at 31-Dec-2025; it did not allocate the balance between the 2025 authorization and legacy 2014 plan.</x:v>
      </x:c>
      <x:c r="AG8" s="39" t="str">
        <x:v>Do not mechanically allocate the aggregate residual balance to either program.</x:v>
      </x:c>
      <x:c r="AH8" s="50" t="n">
        <x:v>41732</x:v>
      </x:c>
      <x:c r="AI8" s="39" t="str">
        <x:v>Legacy 2014 Repurchase Plan, up to US$600m ADSs; no fixed expiry disclosed.</x:v>
      </x:c>
      <x:c r="AJ8" s="60" t="n">
        <x:v>600</x:v>
      </x:c>
      <x:c r="AK8" s="47" t="str">
        <x:v>USD</x:v>
      </x:c>
      <x:c r="AL8" s="62" t="n">
        <x:v>1</x:v>
      </x:c>
      <x:c r="AM8" s="66" t="n">
        <x:f>IF(OR(AJ8="",AL8=""),"",AJ8/AL8)</x:f>
        <x:v>600</x:v>
      </x:c>
      <x:c r="AN8" s="60"/>
      <x:c r="AO8" s="47" t="str">
        <x:v>USD</x:v>
      </x:c>
      <x:c r="AP8" s="62" t="n">
        <x:v>1</x:v>
      </x:c>
      <x:c r="AQ8" s="66" t="str">
        <x:f>IF(OR(AN8="",AP8=""),"",AN8/AP8)</x:f>
      </x:c>
      <x:c r="AR8" s="64"/>
      <x:c r="AS8" s="47"/>
      <x:c r="AT8" s="66" t="str">
        <x:f>IF(OR(AM8="",AQ8=""),"",MAX(0,AM8-AQ8))</x:f>
      </x:c>
      <x:c r="AU8" s="100" t="str">
        <x:f>IF(OR(AM8="",AQ8="",AM8=0),"",AQ8/AM8)</x:f>
      </x:c>
      <x:c r="AV8" s="50" t="str">
        <x:v>No fixed expiry disclosed</x:v>
      </x:c>
      <x:c r="AW8" s="50" t="n">
        <x:v>46022</x:v>
      </x:c>
      <x:c r="AX8" s="50" t="n">
        <x:v>46140</x:v>
      </x:c>
      <x:c r="AY8" s="47" t="str">
        <x:v>2025 Form 20-F</x:v>
      </x:c>
      <x:c r="AZ8" s="47" t="str">
        <x:v>Per-program execution not separable in latest annual report</x:v>
      </x:c>
      <x:c r="BA8" s="47" t="str">
        <x:v>B</x:v>
      </x:c>
      <x:c r="BB8" s="47" t="str">
        <x:v>https://www.sec.gov/Archives/edgar/data/1269238/000119312526183379/d27369d20f.htm</x:v>
      </x:c>
      <x:c r="BC8" s="47" t="str">
        <x:v>https://investors.trip.com/static-files/1b201c7a-d3f4-4f77-b415-cac7e175942c</x:v>
      </x:c>
      <x:c r="BD8" s="47" t="str">
        <x:v>https://www.sec.gov/Archives/edgar/data/1269238/000119312526183379/d27369d20f.htm</x:v>
      </x:c>
      <x:c r="BE8" s="39" t="str">
        <x:v>Legacy plan remains referenced with residual capacity, but latest issuer reporting aggregates remaining capacity with the newer US$5.0bn authorization.</x:v>
      </x:c>
      <x:c r="BF8" s="39" t="str">
        <x:v>Aggregate remaining across the two active plans was ~US$5.068bn at 31-Dec-2025.</x:v>
      </x:c>
    </x:row>
    <x:row r="9">
      <x:c r="A9" s="47" t="str">
        <x:v>Baidu, Inc.</x:v>
      </x:c>
      <x:c r="B9" s="47" t="str">
        <x:v>BIDU</x:v>
      </x:c>
      <x:c r="C9" s="47" t="str">
        <x:v>NASDAQ GS</x:v>
      </x:c>
      <x:c r="D9" s="47" t="str">
        <x:v>Yes</x:v>
      </x:c>
      <x:c r="E9" s="47" t="str">
        <x:v>HKEX</x:v>
      </x:c>
      <x:c r="F9" s="47" t="str">
        <x:v>9888 / 89888</x:v>
      </x:c>
      <x:c r="G9" s="47" t="n">
        <x:v>1</x:v>
      </x:c>
      <x:c r="H9" s="39" t="str">
        <x:v>Active formal issuer repurchase authorization</x:v>
      </x:c>
      <x:c r="I9" s="50" t="n">
        <x:v>46057</x:v>
      </x:c>
      <x:c r="J9" s="39" t="str">
        <x:v>New US$5.0bn repurchase program through 31-Dec-2028.</x:v>
      </x:c>
      <x:c r="K9" s="60" t="n">
        <x:v>5000</x:v>
      </x:c>
      <x:c r="L9" s="47" t="str">
        <x:v>USD</x:v>
      </x:c>
      <x:c r="M9" s="62" t="n">
        <x:v>1</x:v>
      </x:c>
      <x:c r="N9" s="66" t="n">
        <x:f>IF(OR(K9="",M9=""),"",K9/M9)</x:f>
        <x:v>5000</x:v>
      </x:c>
      <x:c r="O9" s="60" t="n">
        <x:v>259</x:v>
      </x:c>
      <x:c r="P9" s="47" t="str">
        <x:v>USD</x:v>
      </x:c>
      <x:c r="Q9" s="62" t="n">
        <x:v>1</x:v>
      </x:c>
      <x:c r="R9" s="66" t="n">
        <x:f>IF(OR(O9="",Q9=""),"",O9/Q9)</x:f>
        <x:v>259</x:v>
      </x:c>
      <x:c r="S9" s="64"/>
      <x:c r="T9" s="47"/>
      <x:c r="U9" s="66" t="n">
        <x:f>IF(OR(N9="",R9=""),"",MAX(0,N9-R9))</x:f>
        <x:v>4741</x:v>
      </x:c>
      <x:c r="V9" s="100" t="n">
        <x:f>IF(OR(N9="",R9="",N9=0),"",R9/N9)</x:f>
        <x:v>0.0518</x:v>
      </x:c>
      <x:c r="W9" s="50" t="n">
        <x:v>47118</x:v>
      </x:c>
      <x:c r="X9" s="50" t="n">
        <x:v>46203</x:v>
      </x:c>
      <x:c r="Y9" s="50" t="n">
        <x:v>46252</x:v>
      </x:c>
      <x:c r="Z9" s="47" t="str">
        <x:v>Q2 2026 results</x:v>
      </x:c>
      <x:c r="AA9" s="47" t="str">
        <x:v>Company-disclosed cumulative current-program spend</x:v>
      </x:c>
      <x:c r="AB9" s="47" t="str">
        <x:v>A</x:v>
      </x:c>
      <x:c r="AC9" s="47" t="str">
        <x:v>https://baidu.gcs-web.com/news-releases/news-release-details/baidu-announces-second-quarter-2026-results</x:v>
      </x:c>
      <x:c r="AD9" s="47" t="str">
        <x:v>https://baidu.gcs-web.com/</x:v>
      </x:c>
      <x:c r="AE9" s="47" t="str">
        <x:v>https://baidu.gcs-web.com/news-releases/news-release-details/baidu-announces-second-quarter-2026-results</x:v>
      </x:c>
      <x:c r="AF9" s="39" t="str">
        <x:v>Company reported US$259m returned through repurchases under the current program since the beginning of Q1-2026.</x:v>
      </x:c>
      <x:c r="AG9" s="39" t="str">
        <x:v>Cumulative share count was not separately stated in the headline execution disclosure reviewed.</x:v>
      </x:c>
      <x:c r="AH9" s="50"/>
      <x:c r="AI9" s="39"/>
      <x:c r="AJ9" s="60"/>
      <x:c r="AK9" s="47"/>
      <x:c r="AL9" s="62"/>
      <x:c r="AM9" s="66"/>
      <x:c r="AN9" s="60"/>
      <x:c r="AO9" s="47"/>
      <x:c r="AP9" s="62"/>
      <x:c r="AQ9" s="66"/>
      <x:c r="AR9" s="64"/>
      <x:c r="AS9" s="47"/>
      <x:c r="AT9" s="66"/>
      <x:c r="AU9" s="100"/>
      <x:c r="AV9" s="50"/>
      <x:c r="AW9" s="50"/>
      <x:c r="AX9" s="50"/>
      <x:c r="AY9" s="47"/>
      <x:c r="AZ9" s="47"/>
      <x:c r="BA9" s="47"/>
      <x:c r="BB9" s="47"/>
      <x:c r="BC9" s="47"/>
      <x:c r="BD9" s="47"/>
      <x:c r="BE9" s="39"/>
      <x:c r="BF9" s="39"/>
    </x:row>
    <x:row r="10">
      <x:c r="A10" s="47" t="str">
        <x:v>Li Auto Inc.</x:v>
      </x:c>
      <x:c r="B10" s="47" t="str">
        <x:v>LI</x:v>
      </x:c>
      <x:c r="C10" s="47" t="str">
        <x:v>NASDAQ GS</x:v>
      </x:c>
      <x:c r="D10" s="47" t="str">
        <x:v>Yes</x:v>
      </x:c>
      <x:c r="E10" s="47" t="str">
        <x:v>HKEX</x:v>
      </x:c>
      <x:c r="F10" s="47" t="str">
        <x:v>2015</x:v>
      </x:c>
      <x:c r="G10" s="47" t="n">
        <x:v>1</x:v>
      </x:c>
      <x:c r="H10" s="39" t="str">
        <x:v>Active formal issuer repurchase authorization</x:v>
      </x:c>
      <x:c r="I10" s="50" t="n">
        <x:v>46105</x:v>
      </x:c>
      <x:c r="J10" s="39" t="str">
        <x:v>Board authorization to repurchase up to US$1.0bn through 31-Mar-2027.</x:v>
      </x:c>
      <x:c r="K10" s="60" t="n">
        <x:v>1000</x:v>
      </x:c>
      <x:c r="L10" s="47" t="str">
        <x:v>USD</x:v>
      </x:c>
      <x:c r="M10" s="62" t="n">
        <x:v>1</x:v>
      </x:c>
      <x:c r="N10" s="66" t="n">
        <x:f>IF(OR(K10="",M10=""),"",K10/M10)</x:f>
        <x:v>1000</x:v>
      </x:c>
      <x:c r="O10" s="60" t="n">
        <x:v>139.7</x:v>
      </x:c>
      <x:c r="P10" s="47" t="str">
        <x:v>USD</x:v>
      </x:c>
      <x:c r="Q10" s="62" t="n">
        <x:v>1</x:v>
      </x:c>
      <x:c r="R10" s="66" t="n">
        <x:f>IF(OR(O10="",Q10=""),"",O10/Q10)</x:f>
        <x:v>139.7</x:v>
      </x:c>
      <x:c r="S10" s="64" t="n">
        <x:v>6.7</x:v>
      </x:c>
      <x:c r="T10" s="47" t="str">
        <x:v>ADSs (mm)</x:v>
      </x:c>
      <x:c r="U10" s="66" t="n">
        <x:f>IF(OR(N10="",R10=""),"",MAX(0,N10-R10))</x:f>
        <x:v>860.3</x:v>
      </x:c>
      <x:c r="V10" s="100" t="n">
        <x:f>IF(OR(N10="",R10="",N10=0),"",R10/N10)</x:f>
        <x:v>0.1397</x:v>
      </x:c>
      <x:c r="W10" s="50" t="n">
        <x:v>46477</x:v>
      </x:c>
      <x:c r="X10" s="50" t="n">
        <x:v>46168</x:v>
      </x:c>
      <x:c r="Y10" s="50" t="n">
        <x:v>46168</x:v>
      </x:c>
      <x:c r="Z10" s="47" t="str">
        <x:v>Q1 2026 results / repurchase update</x:v>
      </x:c>
      <x:c r="AA10" s="47" t="str">
        <x:v>Company-disclosed cumulative spend</x:v>
      </x:c>
      <x:c r="AB10" s="47" t="str">
        <x:v>A</x:v>
      </x:c>
      <x:c r="AC10" s="47" t="str">
        <x:v>https://ir.lixiang.com/news-releases/news-release-details/li-auto-inc-announces-unaudited-first-quarter-2026-financial/</x:v>
      </x:c>
      <x:c r="AD10" s="47" t="str">
        <x:v>https://www.sec.gov/Archives/edgar/data/1791706/000110465926033834/tm269693d1_ex99-1.htm</x:v>
      </x:c>
      <x:c r="AE10" s="47" t="str">
        <x:v>https://ir.lixiang.com/news-releases/news-release-details/li-auto-inc-announces-unaudited-first-quarter-2026-financial/</x:v>
      </x:c>
      <x:c r="AF10" s="39" t="str">
        <x:v>Company disclosed ~16.4m Class A ordinary shares, including ~6.7m ADSs, repurchased for US$139.7m as of 26-May-2026.</x:v>
      </x:c>
      <x:c r="AG10" s="39"/>
      <x:c r="AH10" s="50"/>
      <x:c r="AI10" s="39"/>
      <x:c r="AJ10" s="60"/>
      <x:c r="AK10" s="47"/>
      <x:c r="AL10" s="62"/>
      <x:c r="AM10" s="66"/>
      <x:c r="AN10" s="60"/>
      <x:c r="AO10" s="47"/>
      <x:c r="AP10" s="62"/>
      <x:c r="AQ10" s="66"/>
      <x:c r="AR10" s="64"/>
      <x:c r="AS10" s="47"/>
      <x:c r="AT10" s="66"/>
      <x:c r="AU10" s="100"/>
      <x:c r="AV10" s="50"/>
      <x:c r="AW10" s="50"/>
      <x:c r="AX10" s="50"/>
      <x:c r="AY10" s="47"/>
      <x:c r="AZ10" s="47"/>
      <x:c r="BA10" s="47"/>
      <x:c r="BB10" s="47"/>
      <x:c r="BC10" s="47"/>
      <x:c r="BD10" s="47"/>
      <x:c r="BE10" s="39"/>
      <x:c r="BF10" s="39"/>
    </x:row>
    <x:row r="11">
      <x:c r="A11" s="47" t="str">
        <x:v>KE Holdings Inc.</x:v>
      </x:c>
      <x:c r="B11" s="47" t="str">
        <x:v>BEKE</x:v>
      </x:c>
      <x:c r="C11" s="47" t="str">
        <x:v>NYSE</x:v>
      </x:c>
      <x:c r="D11" s="47" t="str">
        <x:v>Yes</x:v>
      </x:c>
      <x:c r="E11" s="47" t="str">
        <x:v>HKEX</x:v>
      </x:c>
      <x:c r="F11" s="47" t="str">
        <x:v>2423</x:v>
      </x:c>
      <x:c r="G11" s="47" t="n">
        <x:v>1</x:v>
      </x:c>
      <x:c r="H11" s="39" t="str">
        <x:v>Active formal issuer repurchase authorization</x:v>
      </x:c>
      <x:c r="I11" s="50" t="n">
        <x:v>45895</x:v>
      </x:c>
      <x:c r="J11" s="39" t="str">
        <x:v>Existing program upsized from US$3.0bn to US$5.0bn and extended through 31-Aug-2028.</x:v>
      </x:c>
      <x:c r="K11" s="60" t="n">
        <x:v>5000</x:v>
      </x:c>
      <x:c r="L11" s="47" t="str">
        <x:v>USD</x:v>
      </x:c>
      <x:c r="M11" s="62" t="n">
        <x:v>1</x:v>
      </x:c>
      <x:c r="N11" s="66" t="n">
        <x:f>IF(OR(K11="",M11=""),"",K11/M11)</x:f>
        <x:v>5000</x:v>
      </x:c>
      <x:c r="O11" s="60" t="n">
        <x:v>2741.7</x:v>
      </x:c>
      <x:c r="P11" s="47" t="str">
        <x:v>USD</x:v>
      </x:c>
      <x:c r="Q11" s="62" t="n">
        <x:v>1</x:v>
      </x:c>
      <x:c r="R11" s="66" t="n">
        <x:f>IF(OR(O11="",Q11=""),"",O11/Q11)</x:f>
        <x:v>2741.7</x:v>
      </x:c>
      <x:c r="S11" s="64" t="n">
        <x:v>171.2</x:v>
      </x:c>
      <x:c r="T11" s="47" t="str">
        <x:v>ADSs (mm)</x:v>
      </x:c>
      <x:c r="U11" s="66" t="n">
        <x:f>IF(OR(N11="",R11=""),"",MAX(0,N11-R11))</x:f>
        <x:v>2258.3</x:v>
      </x:c>
      <x:c r="V11" s="100" t="n">
        <x:f>IF(OR(N11="",R11="",N11=0),"",R11/N11)</x:f>
        <x:v>0.5483399999999999</x:v>
      </x:c>
      <x:c r="W11" s="50" t="n">
        <x:v>46996</x:v>
      </x:c>
      <x:c r="X11" s="50" t="n">
        <x:v>46112</x:v>
      </x:c>
      <x:c r="Y11" s="50" t="n">
        <x:v>46162</x:v>
      </x:c>
      <x:c r="Z11" s="47" t="str">
        <x:v>Q1 2026 results</x:v>
      </x:c>
      <x:c r="AA11" s="47" t="str">
        <x:v>Company-disclosed cumulative program spend</x:v>
      </x:c>
      <x:c r="AB11" s="47" t="str">
        <x:v>A</x:v>
      </x:c>
      <x:c r="AC11" s="47" t="str">
        <x:v>https://investors.ke.com/news-releases/news-release-details/ke-holdings-inc-announces-first-quarter-2026-unaudited-financial</x:v>
      </x:c>
      <x:c r="AD11" s="47" t="str">
        <x:v>https://investors.ke.com/news-releases/news-release-details/ke-holdings-inc-announces-second-quarter-2025-unaudited</x:v>
      </x:c>
      <x:c r="AE11" s="47" t="str">
        <x:v>https://investors.ke.com/news-releases/news-release-details/ke-holdings-inc-announces-first-quarter-2026-unaudited-financial</x:v>
      </x:c>
      <x:c r="AF11" s="39" t="str">
        <x:v>Company disclosed approximately 171.2m ADSs repurchased for approximately US$2,741.7m cumulatively.</x:v>
      </x:c>
      <x:c r="AG11" s="39" t="str">
        <x:v>171.2m ADSs correspond to ~513.6m Class A ordinary shares at 1 ADS = 3 shares.</x:v>
      </x:c>
      <x:c r="AH11" s="50"/>
      <x:c r="AI11" s="39"/>
      <x:c r="AJ11" s="60"/>
      <x:c r="AK11" s="47"/>
      <x:c r="AL11" s="62"/>
      <x:c r="AM11" s="66"/>
      <x:c r="AN11" s="60"/>
      <x:c r="AO11" s="47"/>
      <x:c r="AP11" s="62"/>
      <x:c r="AQ11" s="66"/>
      <x:c r="AR11" s="64"/>
      <x:c r="AS11" s="47"/>
      <x:c r="AT11" s="66"/>
      <x:c r="AU11" s="100"/>
      <x:c r="AV11" s="50"/>
      <x:c r="AW11" s="50"/>
      <x:c r="AX11" s="50"/>
      <x:c r="AY11" s="47"/>
      <x:c r="AZ11" s="47"/>
      <x:c r="BA11" s="47"/>
      <x:c r="BB11" s="47"/>
      <x:c r="BC11" s="47"/>
      <x:c r="BD11" s="47"/>
      <x:c r="BE11" s="39"/>
      <x:c r="BF11" s="39"/>
    </x:row>
    <x:row r="12">
      <x:c r="A12" s="47" t="str">
        <x:v>Tencent Music Entertainment Group</x:v>
      </x:c>
      <x:c r="B12" s="47" t="str">
        <x:v>TME</x:v>
      </x:c>
      <x:c r="C12" s="47" t="str">
        <x:v>NYSE</x:v>
      </x:c>
      <x:c r="D12" s="47" t="str">
        <x:v>Yes</x:v>
      </x:c>
      <x:c r="E12" s="47" t="str">
        <x:v>HKEX</x:v>
      </x:c>
      <x:c r="F12" s="47" t="str">
        <x:v>1698</x:v>
      </x:c>
      <x:c r="G12" s="47" t="n">
        <x:v>1</x:v>
      </x:c>
      <x:c r="H12" s="39" t="str">
        <x:v>Active formal issuer repurchase authorization</x:v>
      </x:c>
      <x:c r="I12" s="50" t="n">
        <x:v>45733</x:v>
      </x:c>
      <x:c r="J12" s="39" t="str">
        <x:v>US$1.0bn repurchase program over two years commencing 21-Mar-2025.</x:v>
      </x:c>
      <x:c r="K12" s="60" t="n">
        <x:v>1000</x:v>
      </x:c>
      <x:c r="L12" s="47" t="str">
        <x:v>USD</x:v>
      </x:c>
      <x:c r="M12" s="62" t="n">
        <x:v>1</x:v>
      </x:c>
      <x:c r="N12" s="66" t="n">
        <x:f>IF(OR(K12="",M12=""),"",K12/M12)</x:f>
        <x:v>1000</x:v>
      </x:c>
      <x:c r="O12" s="60" t="n">
        <x:v>400</x:v>
      </x:c>
      <x:c r="P12" s="47" t="str">
        <x:v>USD</x:v>
      </x:c>
      <x:c r="Q12" s="62" t="n">
        <x:v>1</x:v>
      </x:c>
      <x:c r="R12" s="66" t="n">
        <x:f>IF(OR(O12="",Q12=""),"",O12/Q12)</x:f>
        <x:v>400</x:v>
      </x:c>
      <x:c r="S12" s="64" t="n">
        <x:v>43.5</x:v>
      </x:c>
      <x:c r="T12" s="47" t="str">
        <x:v>ADSs (mm)</x:v>
      </x:c>
      <x:c r="U12" s="66" t="n">
        <x:f>IF(OR(N12="",R12=""),"",MAX(0,N12-R12))</x:f>
        <x:v>600</x:v>
      </x:c>
      <x:c r="V12" s="100" t="n">
        <x:f>IF(OR(N12="",R12="",N12=0),"",R12/N12)</x:f>
        <x:v>0.4</x:v>
      </x:c>
      <x:c r="W12" s="50" t="n">
        <x:v>46466</x:v>
      </x:c>
      <x:c r="X12" s="50" t="n">
        <x:v>46203</x:v>
      </x:c>
      <x:c r="Y12" s="50" t="n">
        <x:v>46245</x:v>
      </x:c>
      <x:c r="Z12" s="47" t="str">
        <x:v>Q2 2026 results</x:v>
      </x:c>
      <x:c r="AA12" s="47" t="str">
        <x:v>Company-disclosed repurchases in Q2; no Q1 repurchases disclosed in Q1 result</x:v>
      </x:c>
      <x:c r="AB12" s="47" t="str">
        <x:v>A</x:v>
      </x:c>
      <x:c r="AC12" s="47" t="str">
        <x:v>https://ir.tencentmusic.com/2026-08-11-Tencent-Music-Entertainment-Group-Announces-Second-Quarter-2026-Unaudited-Financial-Results</x:v>
      </x:c>
      <x:c r="AD12" s="47" t="str">
        <x:v>https://ir.tencentmusic.com/</x:v>
      </x:c>
      <x:c r="AE12" s="47" t="str">
        <x:v>https://ir.tencentmusic.com/2026-08-11-Tencent-Music-Entertainment-Group-Announces-Second-Quarter-2026-Unaudited-Financial-Results</x:v>
      </x:c>
      <x:c r="AF12" s="39" t="str">
        <x:v>Q2-2026 disclosure: 43.5m ADSs repurchased for ~US$400m. Q1-2026 earnings release contained no share-repurchase disclosure; 2025 annual filing showed no current-program execution through year-end.</x:v>
      </x:c>
      <x:c r="AG12" s="39" t="str">
        <x:v>1 ADS = 2 Class A ordinary shares.</x:v>
      </x:c>
      <x:c r="AH12" s="50"/>
      <x:c r="AI12" s="39"/>
      <x:c r="AJ12" s="60"/>
      <x:c r="AK12" s="47"/>
      <x:c r="AL12" s="62"/>
      <x:c r="AM12" s="66"/>
      <x:c r="AN12" s="60"/>
      <x:c r="AO12" s="47"/>
      <x:c r="AP12" s="62"/>
      <x:c r="AQ12" s="66"/>
      <x:c r="AR12" s="64"/>
      <x:c r="AS12" s="47"/>
      <x:c r="AT12" s="66"/>
      <x:c r="AU12" s="100"/>
      <x:c r="AV12" s="50"/>
      <x:c r="AW12" s="50"/>
      <x:c r="AX12" s="50"/>
      <x:c r="AY12" s="47"/>
      <x:c r="AZ12" s="47"/>
      <x:c r="BA12" s="47"/>
      <x:c r="BB12" s="47"/>
      <x:c r="BC12" s="47"/>
      <x:c r="BD12" s="47"/>
      <x:c r="BE12" s="39"/>
      <x:c r="BF12" s="39"/>
    </x:row>
    <x:row r="13">
      <x:c r="A13" s="47" t="str">
        <x:v>Yum China Holdings, Inc.</x:v>
      </x:c>
      <x:c r="B13" s="47" t="str">
        <x:v>YUMC</x:v>
      </x:c>
      <x:c r="C13" s="47" t="str">
        <x:v>NYSE</x:v>
      </x:c>
      <x:c r="D13" s="47" t="str">
        <x:v>Yes</x:v>
      </x:c>
      <x:c r="E13" s="47" t="str">
        <x:v>HKEX</x:v>
      </x:c>
      <x:c r="F13" s="47" t="str">
        <x:v>9987</x:v>
      </x:c>
      <x:c r="G13" s="47" t="n">
        <x:v>1</x:v>
      </x:c>
      <x:c r="H13" s="39" t="str">
        <x:v>Active formal issuer repurchase authorization</x:v>
      </x:c>
      <x:c r="I13" s="50" t="n">
        <x:v>46002</x:v>
      </x:c>
      <x:c r="J13" s="39" t="str">
        <x:v>Aggregate board repurchase authorization increased by US$1.0bn to US$5.4bn; no expiration date.</x:v>
      </x:c>
      <x:c r="K13" s="60" t="n">
        <x:v>5400</x:v>
      </x:c>
      <x:c r="L13" s="47" t="str">
        <x:v>USD</x:v>
      </x:c>
      <x:c r="M13" s="62" t="n">
        <x:v>1</x:v>
      </x:c>
      <x:c r="N13" s="66" t="n">
        <x:f>IF(OR(K13="",M13=""),"",K13/M13)</x:f>
        <x:v>5400</x:v>
      </x:c>
      <x:c r="O13" s="60" t="n">
        <x:v>4759</x:v>
      </x:c>
      <x:c r="P13" s="47" t="str">
        <x:v>USD</x:v>
      </x:c>
      <x:c r="Q13" s="62" t="n">
        <x:v>1</x:v>
      </x:c>
      <x:c r="R13" s="66" t="n">
        <x:f>IF(OR(O13="",Q13=""),"",O13/Q13)</x:f>
        <x:v>4759</x:v>
      </x:c>
      <x:c r="S13" s="64"/>
      <x:c r="T13" s="47"/>
      <x:c r="U13" s="66" t="n">
        <x:f>IF(OR(N13="",R13=""),"",MAX(0,N13-R13))</x:f>
        <x:v>641</x:v>
      </x:c>
      <x:c r="V13" s="100" t="n">
        <x:f>IF(OR(N13="",R13="",N13=0),"",R13/N13)</x:f>
        <x:v>0.8812962962962962</x:v>
      </x:c>
      <x:c r="W13" s="50" t="str">
        <x:v>No fixed expiry disclosed</x:v>
      </x:c>
      <x:c r="X13" s="50" t="n">
        <x:v>46203</x:v>
      </x:c>
      <x:c r="Y13" s="50" t="n">
        <x:v>46244</x:v>
      </x:c>
      <x:c r="Z13" s="47" t="str">
        <x:v>Q2 2026 Form 10-Q / results</x:v>
      </x:c>
      <x:c r="AA13" s="47" t="str">
        <x:v>Calculated from company-disclosed remaining authorization</x:v>
      </x:c>
      <x:c r="AB13" s="47" t="str">
        <x:v>A</x:v>
      </x:c>
      <x:c r="AC13" s="47" t="str">
        <x:v>https://yumchinaholdingsinc.gcs-web.com/static-files/c309d2f1-c7e0-4750-89aa-2c4903fbd85b</x:v>
      </x:c>
      <x:c r="AD13" s="47" t="str">
        <x:v>https://www.sec.gov/Archives/edgar/data/1673358/000119312525316788/yumc-ex99_1.htm</x:v>
      </x:c>
      <x:c r="AE13" s="47" t="str">
        <x:v>https://yumchinaholdingsinc.gcs-web.com/static-files/c309d2f1-c7e0-4750-89aa-2c4903fbd85b</x:v>
      </x:c>
      <x:c r="AF13" s="39" t="str">
        <x:v>US$641m remaining at 30-Jun-2026 implies US$4.759bn cumulative execution.</x:v>
      </x:c>
      <x:c r="AG13" s="39" t="str">
        <x:v>H1-2026: 10.7m common shares for US$515m. Lifetime share count under the aggregate authorization was not restated.</x:v>
      </x:c>
      <x:c r="AH13" s="50"/>
      <x:c r="AI13" s="39"/>
      <x:c r="AJ13" s="60"/>
      <x:c r="AK13" s="47"/>
      <x:c r="AL13" s="62"/>
      <x:c r="AM13" s="66"/>
      <x:c r="AN13" s="60"/>
      <x:c r="AO13" s="47"/>
      <x:c r="AP13" s="62"/>
      <x:c r="AQ13" s="66"/>
      <x:c r="AR13" s="64"/>
      <x:c r="AS13" s="47"/>
      <x:c r="AT13" s="66"/>
      <x:c r="AU13" s="100"/>
      <x:c r="AV13" s="50"/>
      <x:c r="AW13" s="50"/>
      <x:c r="AX13" s="50"/>
      <x:c r="AY13" s="47"/>
      <x:c r="AZ13" s="47"/>
      <x:c r="BA13" s="47"/>
      <x:c r="BB13" s="47"/>
      <x:c r="BC13" s="47"/>
      <x:c r="BD13" s="47"/>
      <x:c r="BE13" s="39"/>
      <x:c r="BF13" s="39"/>
    </x:row>
    <x:row r="14">
      <x:c r="A14" s="47" t="str">
        <x:v>ZTO Express (Cayman) Inc.</x:v>
      </x:c>
      <x:c r="B14" s="47" t="str">
        <x:v>ZTO</x:v>
      </x:c>
      <x:c r="C14" s="47" t="str">
        <x:v>NYSE</x:v>
      </x:c>
      <x:c r="D14" s="47" t="str">
        <x:v>Yes</x:v>
      </x:c>
      <x:c r="E14" s="47" t="str">
        <x:v>HKEX</x:v>
      </x:c>
      <x:c r="F14" s="47" t="str">
        <x:v>2057</x:v>
      </x:c>
      <x:c r="G14" s="47" t="n">
        <x:v>1</x:v>
      </x:c>
      <x:c r="H14" s="39" t="str">
        <x:v>Active formal issuer repurchase authorization</x:v>
      </x:c>
      <x:c r="I14" s="50" t="n">
        <x:v>46098</x:v>
      </x:c>
      <x:c r="J14" s="39" t="str">
        <x:v>New US$1.5bn program effective 20-Mar-2026 through 20-Mar-2028.</x:v>
      </x:c>
      <x:c r="K14" s="60" t="n">
        <x:v>1500</x:v>
      </x:c>
      <x:c r="L14" s="47" t="str">
        <x:v>USD</x:v>
      </x:c>
      <x:c r="M14" s="62" t="n">
        <x:v>1</x:v>
      </x:c>
      <x:c r="N14" s="66" t="n">
        <x:f>IF(OR(K14="",M14=""),"",K14/M14)</x:f>
        <x:v>1500</x:v>
      </x:c>
      <x:c r="O14" s="60" t="n">
        <x:v>138</x:v>
      </x:c>
      <x:c r="P14" s="47" t="str">
        <x:v>USD</x:v>
      </x:c>
      <x:c r="Q14" s="62" t="n">
        <x:v>1</x:v>
      </x:c>
      <x:c r="R14" s="66" t="n">
        <x:f>IF(OR(O14="",Q14=""),"",O14/Q14)</x:f>
        <x:v>138</x:v>
      </x:c>
      <x:c r="S14" s="64" t="n">
        <x:v>6.161216</x:v>
      </x:c>
      <x:c r="T14" s="47" t="str">
        <x:v>ADSs (mm)</x:v>
      </x:c>
      <x:c r="U14" s="66" t="n">
        <x:f>IF(OR(N14="",R14=""),"",MAX(0,N14-R14))</x:f>
        <x:v>1362</x:v>
      </x:c>
      <x:c r="V14" s="100" t="n">
        <x:f>IF(OR(N14="",R14="",N14=0),"",R14/N14)</x:f>
        <x:v>0.092</x:v>
      </x:c>
      <x:c r="W14" s="50" t="n">
        <x:v>46832</x:v>
      </x:c>
      <x:c r="X14" s="50" t="n">
        <x:v>46203</x:v>
      </x:c>
      <x:c r="Y14" s="50" t="n">
        <x:v>46252</x:v>
      </x:c>
      <x:c r="Z14" s="47" t="str">
        <x:v>Q2 2026 results</x:v>
      </x:c>
      <x:c r="AA14" s="47" t="str">
        <x:v>Company-disclosed cumulative current-program execution</x:v>
      </x:c>
      <x:c r="AB14" s="47" t="str">
        <x:v>A</x:v>
      </x:c>
      <x:c r="AC14" s="47" t="str">
        <x:v>https://zto.investorroom.com/2026-08-18-ZTO-Reports-Second-Quarter-2026-Unaudited-Financial-Results</x:v>
      </x:c>
      <x:c r="AD14" s="47" t="str">
        <x:v>https://zto.investorroom.com/2026-03-17-ZTO-Reports-Fourth-Quarter-2025-and-Full-Year-2025-Unaudited-Financial-Results</x:v>
      </x:c>
      <x:c r="AE14" s="47" t="str">
        <x:v>https://zto.investorroom.com/2026-08-18-ZTO-Reports-Second-Quarter-2026-Unaudited-Financial-Results</x:v>
      </x:c>
      <x:c r="AF14" s="39" t="str">
        <x:v>Company disclosed 6,161,216 ADSs repurchased for US$138m under the new program by 30-Jun-2026.</x:v>
      </x:c>
      <x:c r="AG14" s="39"/>
      <x:c r="AH14" s="50"/>
      <x:c r="AI14" s="39"/>
      <x:c r="AJ14" s="60"/>
      <x:c r="AK14" s="47"/>
      <x:c r="AL14" s="62"/>
      <x:c r="AM14" s="66"/>
      <x:c r="AN14" s="60"/>
      <x:c r="AO14" s="47"/>
      <x:c r="AP14" s="62"/>
      <x:c r="AQ14" s="66"/>
      <x:c r="AR14" s="64"/>
      <x:c r="AS14" s="47"/>
      <x:c r="AT14" s="66"/>
      <x:c r="AU14" s="100"/>
      <x:c r="AV14" s="50"/>
      <x:c r="AW14" s="50"/>
      <x:c r="AX14" s="50"/>
      <x:c r="AY14" s="47"/>
      <x:c r="AZ14" s="47"/>
      <x:c r="BA14" s="47"/>
      <x:c r="BB14" s="47"/>
      <x:c r="BC14" s="47"/>
      <x:c r="BD14" s="47"/>
      <x:c r="BE14" s="39"/>
      <x:c r="BF14" s="39"/>
    </x:row>
    <x:row r="15">
      <x:c r="A15" s="47" t="str">
        <x:v>H World Group Limited</x:v>
      </x:c>
      <x:c r="B15" s="47" t="str">
        <x:v>HTHT</x:v>
      </x:c>
      <x:c r="C15" s="47" t="str">
        <x:v>NASDAQ GS</x:v>
      </x:c>
      <x:c r="D15" s="47" t="str">
        <x:v>Yes</x:v>
      </x:c>
      <x:c r="E15" s="47" t="str">
        <x:v>HKEX</x:v>
      </x:c>
      <x:c r="F15" s="47" t="str">
        <x:v>1179</x:v>
      </x:c>
      <x:c r="G15" s="47" t="n">
        <x:v>1</x:v>
      </x:c>
      <x:c r="H15" s="39" t="str">
        <x:v>Active five-year US$1.0bn ADS repurchase program. New Aug-2026 shareholder-return plan does not itself replace the existing specific buyback authorization.</x:v>
      </x:c>
      <x:c r="I15" s="50" t="n">
        <x:v>45496</x:v>
      </x:c>
      <x:c r="J15" s="39" t="str">
        <x:v>Five-year US$1.0bn ADS repurchase program, effective 21-Aug-2024.</x:v>
      </x:c>
      <x:c r="K15" s="60" t="n">
        <x:v>1000</x:v>
      </x:c>
      <x:c r="L15" s="47" t="str">
        <x:v>USD</x:v>
      </x:c>
      <x:c r="M15" s="62" t="n">
        <x:v>1</x:v>
      </x:c>
      <x:c r="N15" s="66" t="n">
        <x:f>IF(OR(K15="",M15=""),"",K15/M15)</x:f>
        <x:v>1000</x:v>
      </x:c>
      <x:c r="O15" s="60" t="n">
        <x:v>428</x:v>
      </x:c>
      <x:c r="P15" s="47" t="str">
        <x:v>USD</x:v>
      </x:c>
      <x:c r="Q15" s="62" t="n">
        <x:v>1</x:v>
      </x:c>
      <x:c r="R15" s="66" t="n">
        <x:f>IF(OR(O15="",Q15=""),"",O15/Q15)</x:f>
        <x:v>428</x:v>
      </x:c>
      <x:c r="S15" s="64"/>
      <x:c r="T15" s="47"/>
      <x:c r="U15" s="66" t="n">
        <x:f>IF(OR(N15="",R15=""),"",MAX(0,N15-R15))</x:f>
        <x:v>572</x:v>
      </x:c>
      <x:c r="V15" s="100" t="n">
        <x:f>IF(OR(N15="",R15="",N15=0),"",R15/N15)</x:f>
        <x:v>0.428</x:v>
      </x:c>
      <x:c r="W15" s="50" t="n">
        <x:v>47350</x:v>
      </x:c>
      <x:c r="X15" s="50" t="n">
        <x:v>46203</x:v>
      </x:c>
      <x:c r="Y15" s="50" t="n">
        <x:v>46251</x:v>
      </x:c>
      <x:c r="Z15" s="47" t="str">
        <x:v>Q2 / H1 2026 results + 2025 Form 20-F</x:v>
      </x:c>
      <x:c r="AA15" s="47" t="str">
        <x:v>Calculated from disclosed remaining capacity at 31-Dec-2025 plus H1-2026 repurchase cash payments</x:v>
      </x:c>
      <x:c r="AB15" s="47" t="str">
        <x:v>A</x:v>
      </x:c>
      <x:c r="AC15" s="47" t="str">
        <x:v>https://ir.hworld.com/zh-hans/news-releases/news-release-details/huazhujituanyouxiangongsichengbao2026niandierjiducaiwuyeji</x:v>
      </x:c>
      <x:c r="AD15" s="47" t="str">
        <x:v>https://www.sec.gov/Archives/edgar/data/1483994/000110465924091033/tm2421903d2_ex99-1.htm</x:v>
      </x:c>
      <x:c r="AE15" s="47" t="str">
        <x:v>https://www.sec.gov/Archives/edgar/data/1483994/000110465926048058/htht-20251231x20f.htm</x:v>
      </x:c>
      <x:c r="AF15" s="39" t="str">
        <x:v>2025 annual report showed US$846m remaining at 31-Dec-2025, i.e. US$154m cumulative execution under the current program. H1-2026 cash flow reported US$274m share-repurchase payments. Sum = US$428m.</x:v>
      </x:c>
      <x:c r="AG15" s="39" t="str">
        <x:v>Program-to-date shares through 2025 were 4.704909m ADSs; H1-2026 share count was not restated, so cumulative share count is left blank. New Aug-2026 US$2.5bn shareholder-return plan is not treated as a second buyback authorization.</x:v>
      </x:c>
      <x:c r="AH15" s="50"/>
      <x:c r="AI15" s="39"/>
      <x:c r="AJ15" s="60"/>
      <x:c r="AK15" s="47"/>
      <x:c r="AL15" s="62"/>
      <x:c r="AM15" s="66"/>
      <x:c r="AN15" s="60"/>
      <x:c r="AO15" s="47"/>
      <x:c r="AP15" s="62"/>
      <x:c r="AQ15" s="66"/>
      <x:c r="AR15" s="64"/>
      <x:c r="AS15" s="47"/>
      <x:c r="AT15" s="66"/>
      <x:c r="AU15" s="100"/>
      <x:c r="AV15" s="50"/>
      <x:c r="AW15" s="50"/>
      <x:c r="AX15" s="50"/>
      <x:c r="AY15" s="47"/>
      <x:c r="AZ15" s="47"/>
      <x:c r="BA15" s="47"/>
      <x:c r="BB15" s="47"/>
      <x:c r="BC15" s="47"/>
      <x:c r="BD15" s="47"/>
      <x:c r="BE15" s="39"/>
      <x:c r="BF15" s="39"/>
    </x:row>
    <x:row r="16">
      <x:c r="A16" s="47" t="str">
        <x:v>Bilibili Inc.</x:v>
      </x:c>
      <x:c r="B16" s="47" t="str">
        <x:v>BILI</x:v>
      </x:c>
      <x:c r="C16" s="47" t="str">
        <x:v>NASDAQ GS</x:v>
      </x:c>
      <x:c r="D16" s="47" t="str">
        <x:v>Yes</x:v>
      </x:c>
      <x:c r="E16" s="47" t="str">
        <x:v>HKEX</x:v>
      </x:c>
      <x:c r="F16" s="47" t="str">
        <x:v>9626</x:v>
      </x:c>
      <x:c r="G16" s="47" t="n">
        <x:v>1</x:v>
      </x:c>
      <x:c r="H16" s="39" t="str">
        <x:v>Active formal issuer repurchase authorization</x:v>
      </x:c>
      <x:c r="I16" s="50" t="n">
        <x:v>46197</x:v>
      </x:c>
      <x:c r="J16" s="39" t="str">
        <x:v>US$300m share repurchase program for listed securities over 24 months.</x:v>
      </x:c>
      <x:c r="K16" s="60" t="n">
        <x:v>300</x:v>
      </x:c>
      <x:c r="L16" s="47" t="str">
        <x:v>USD</x:v>
      </x:c>
      <x:c r="M16" s="62" t="n">
        <x:v>1</x:v>
      </x:c>
      <x:c r="N16" s="66" t="n">
        <x:f>IF(OR(K16="",M16=""),"",K16/M16)</x:f>
        <x:v>300</x:v>
      </x:c>
      <x:c r="O16" s="60" t="n">
        <x:v>31.3</x:v>
      </x:c>
      <x:c r="P16" s="47" t="str">
        <x:v>USD</x:v>
      </x:c>
      <x:c r="Q16" s="62" t="n">
        <x:v>1</x:v>
      </x:c>
      <x:c r="R16" s="66" t="n">
        <x:f>IF(OR(O16="",Q16=""),"",O16/Q16)</x:f>
        <x:v>31.3</x:v>
      </x:c>
      <x:c r="S16" s="64" t="n">
        <x:v>1.9</x:v>
      </x:c>
      <x:c r="T16" s="47" t="str">
        <x:v>Listed securities (mm)</x:v>
      </x:c>
      <x:c r="U16" s="66" t="n">
        <x:f>IF(OR(N16="",R16=""),"",MAX(0,N16-R16))</x:f>
        <x:v>268.7</x:v>
      </x:c>
      <x:c r="V16" s="100" t="n">
        <x:f>IF(OR(N16="",R16="",N16=0),"",R16/N16)</x:f>
        <x:v>0.10433333333333333</x:v>
      </x:c>
      <x:c r="W16" s="50" t="n">
        <x:v>46927</x:v>
      </x:c>
      <x:c r="X16" s="50" t="n">
        <x:v>46203</x:v>
      </x:c>
      <x:c r="Y16" s="50" t="n">
        <x:v>46203</x:v>
      </x:c>
      <x:c r="Z16" s="47" t="str">
        <x:v>Repurchase update / Form 6-K</x:v>
      </x:c>
      <x:c r="AA16" s="47" t="str">
        <x:v>Company-disclosed execution</x:v>
      </x:c>
      <x:c r="AB16" s="47" t="str">
        <x:v>A</x:v>
      </x:c>
      <x:c r="AC16" s="47" t="str">
        <x:v>https://www.sec.gov/Archives/edgar/data/1723690/000119312526290468/d114903dex992.htm</x:v>
      </x:c>
      <x:c r="AD16" s="47" t="str">
        <x:v>https://www.sec.gov/Archives/edgar/data/1723690/000119312526280222/d26402dex991.htm</x:v>
      </x:c>
      <x:c r="AE16" s="47" t="str">
        <x:v>https://www.sec.gov/Archives/edgar/data/1723690/000119312526290468/d114903dex992.htm</x:v>
      </x:c>
      <x:c r="AF16" s="39" t="str">
        <x:v>Company disclosed 1.9m listed securities repurchased for US$31.3m by 30-Jun-2026.</x:v>
      </x:c>
      <x:c r="AG16" s="39"/>
      <x:c r="AH16" s="50"/>
      <x:c r="AI16" s="39"/>
      <x:c r="AJ16" s="60"/>
      <x:c r="AK16" s="47"/>
      <x:c r="AL16" s="62"/>
      <x:c r="AM16" s="66"/>
      <x:c r="AN16" s="60"/>
      <x:c r="AO16" s="47"/>
      <x:c r="AP16" s="62"/>
      <x:c r="AQ16" s="66"/>
      <x:c r="AR16" s="64"/>
      <x:c r="AS16" s="47"/>
      <x:c r="AT16" s="66"/>
      <x:c r="AU16" s="100"/>
      <x:c r="AV16" s="50"/>
      <x:c r="AW16" s="50"/>
      <x:c r="AX16" s="50"/>
      <x:c r="AY16" s="47"/>
      <x:c r="AZ16" s="47"/>
      <x:c r="BA16" s="47"/>
      <x:c r="BB16" s="47"/>
      <x:c r="BC16" s="47"/>
      <x:c r="BD16" s="47"/>
      <x:c r="BE16" s="39"/>
      <x:c r="BF16" s="39"/>
    </x:row>
    <x:row r="17">
      <x:c r="A17" s="47" t="str">
        <x:v>Vipshop Holdings Limited</x:v>
      </x:c>
      <x:c r="B17" s="47" t="str">
        <x:v>VIPS</x:v>
      </x:c>
      <x:c r="C17" s="47" t="str">
        <x:v>NYSE</x:v>
      </x:c>
      <x:c r="D17" s="47" t="str">
        <x:v>No</x:v>
      </x:c>
      <x:c r="E17" s="47"/>
      <x:c r="F17" s="47"/>
      <x:c r="G17" s="47" t="n">
        <x:v>1</x:v>
      </x:c>
      <x:c r="H17" s="39" t="str">
        <x:v>Active formal issuer repurchase authorization</x:v>
      </x:c>
      <x:c r="I17" s="50" t="n">
        <x:v>45524</x:v>
      </x:c>
      <x:c r="J17" s="39" t="str">
        <x:v>US$1.0bn program; operative after prior authorization was fully utilized; effective through Feb-2027.</x:v>
      </x:c>
      <x:c r="K17" s="60" t="n">
        <x:v>1000</x:v>
      </x:c>
      <x:c r="L17" s="47" t="str">
        <x:v>USD</x:v>
      </x:c>
      <x:c r="M17" s="62" t="n">
        <x:v>1</x:v>
      </x:c>
      <x:c r="N17" s="66" t="n">
        <x:f>IF(OR(K17="",M17=""),"",K17/M17)</x:f>
        <x:v>1000</x:v>
      </x:c>
      <x:c r="O17" s="60" t="n">
        <x:v>684</x:v>
      </x:c>
      <x:c r="P17" s="47" t="str">
        <x:v>USD</x:v>
      </x:c>
      <x:c r="Q17" s="62" t="n">
        <x:v>1</x:v>
      </x:c>
      <x:c r="R17" s="66" t="n">
        <x:f>IF(OR(O17="",Q17=""),"",O17/Q17)</x:f>
        <x:v>684</x:v>
      </x:c>
      <x:c r="S17" s="64"/>
      <x:c r="T17" s="47"/>
      <x:c r="U17" s="66" t="n">
        <x:f>IF(OR(N17="",R17=""),"",MAX(0,N17-R17))</x:f>
        <x:v>316</x:v>
      </x:c>
      <x:c r="V17" s="100" t="n">
        <x:f>IF(OR(N17="",R17="",N17=0),"",R17/N17)</x:f>
        <x:v>0.684</x:v>
      </x:c>
      <x:c r="W17" s="50" t="n">
        <x:v>46446</x:v>
      </x:c>
      <x:c r="X17" s="50" t="n">
        <x:v>46022</x:v>
      </x:c>
      <x:c r="Y17" s="50" t="n">
        <x:v>46079</x:v>
      </x:c>
      <x:c r="Z17" s="47" t="str">
        <x:v>Q4 / FY2025 results; later Q1-2026 reviewed</x:v>
      </x:c>
      <x:c r="AA17" s="47" t="str">
        <x:v>Calculated from company-disclosed remaining capacity</x:v>
      </x:c>
      <x:c r="AB17" s="47" t="str">
        <x:v>B</x:v>
      </x:c>
      <x:c r="AC17" s="47" t="str">
        <x:v>https://ir.vip.com/news-releases/news-release-details/vipshop-reports-unaudited-fourth-quarter-and-full-year-2025</x:v>
      </x:c>
      <x:c r="AD17" s="47" t="str">
        <x:v>https://ir.vip.com/news-releases/news-release-details/vipshop-reports-unaudited-second-quarter-2024-financial-results</x:v>
      </x:c>
      <x:c r="AE17" s="47" t="str">
        <x:v>https://ir.vip.com/news-releases/news-release-details/vipshop-reports-unaudited-fourth-quarter-and-full-year-2025</x:v>
      </x:c>
      <x:c r="AF17" s="39" t="str">
        <x:v>US$316m unutilized at 31-Dec-2025 implies US$684m cumulative execution.</x:v>
      </x:c>
      <x:c r="AG17" s="39" t="str">
        <x:v>Q2-2026 results were scheduled for 25-Aug-2026, after this workbook cutoff; latest quantified balance located is 31-Dec-2025.</x:v>
      </x:c>
      <x:c r="AH17" s="50"/>
      <x:c r="AI17" s="39"/>
      <x:c r="AJ17" s="60"/>
      <x:c r="AK17" s="47"/>
      <x:c r="AL17" s="62"/>
      <x:c r="AM17" s="66"/>
      <x:c r="AN17" s="60"/>
      <x:c r="AO17" s="47"/>
      <x:c r="AP17" s="62"/>
      <x:c r="AQ17" s="66"/>
      <x:c r="AR17" s="64"/>
      <x:c r="AS17" s="47"/>
      <x:c r="AT17" s="66"/>
      <x:c r="AU17" s="100"/>
      <x:c r="AV17" s="50"/>
      <x:c r="AW17" s="50"/>
      <x:c r="AX17" s="50"/>
      <x:c r="AY17" s="47"/>
      <x:c r="AZ17" s="47"/>
      <x:c r="BA17" s="47"/>
      <x:c r="BB17" s="47"/>
      <x:c r="BC17" s="47"/>
      <x:c r="BD17" s="47"/>
      <x:c r="BE17" s="39"/>
      <x:c r="BF17" s="39"/>
    </x:row>
    <x:row r="18">
      <x:c r="A18" s="47" t="str">
        <x:v>TAL Education Group</x:v>
      </x:c>
      <x:c r="B18" s="47" t="str">
        <x:v>TAL</x:v>
      </x:c>
      <x:c r="C18" s="47" t="str">
        <x:v>NYSE</x:v>
      </x:c>
      <x:c r="D18" s="47" t="str">
        <x:v>No</x:v>
      </x:c>
      <x:c r="E18" s="47"/>
      <x:c r="F18" s="47"/>
      <x:c r="G18" s="47" t="n">
        <x:v>1</x:v>
      </x:c>
      <x:c r="H18" s="39" t="str">
        <x:v>Active formal issuer repurchase authorization, extended through 28-Jul-2027.</x:v>
      </x:c>
      <x:c r="I18" s="50" t="n">
        <x:v>45866</x:v>
      </x:c>
      <x:c r="J18" s="39" t="str">
        <x:v>US$600m program; on 30-Jul-2026 board extended the existing program by 12 months through 28-Jul-2027.</x:v>
      </x:c>
      <x:c r="K18" s="60" t="n">
        <x:v>600</x:v>
      </x:c>
      <x:c r="L18" s="47" t="str">
        <x:v>USD</x:v>
      </x:c>
      <x:c r="M18" s="62" t="n">
        <x:v>1</x:v>
      </x:c>
      <x:c r="N18" s="66" t="n">
        <x:f>IF(OR(K18="",M18=""),"",K18/M18)</x:f>
        <x:v>600</x:v>
      </x:c>
      <x:c r="O18" s="60" t="n">
        <x:v>206.3</x:v>
      </x:c>
      <x:c r="P18" s="47" t="str">
        <x:v>USD</x:v>
      </x:c>
      <x:c r="Q18" s="62" t="n">
        <x:v>1</x:v>
      </x:c>
      <x:c r="R18" s="66" t="n">
        <x:f>IF(OR(O18="",Q18=""),"",O18/Q18)</x:f>
        <x:v>206.3</x:v>
      </x:c>
      <x:c r="S18" s="64" t="n">
        <x:v>6.367325</x:v>
      </x:c>
      <x:c r="T18" s="47" t="str">
        <x:v>Common shares (mm)</x:v>
      </x:c>
      <x:c r="U18" s="66" t="n">
        <x:f>IF(OR(N18="",R18=""),"",MAX(0,N18-R18))</x:f>
        <x:v>393.7</x:v>
      </x:c>
      <x:c r="V18" s="100" t="n">
        <x:f>IF(OR(N18="",R18="",N18=0),"",R18/N18)</x:f>
        <x:v>0.3438333333333334</x:v>
      </x:c>
      <x:c r="W18" s="50" t="n">
        <x:v>46596</x:v>
      </x:c>
      <x:c r="X18" s="50" t="n">
        <x:v>46231</x:v>
      </x:c>
      <x:c r="Y18" s="50" t="n">
        <x:v>46233</x:v>
      </x:c>
      <x:c r="Z18" s="47" t="str">
        <x:v>Q1 FY2027 results / extension update</x:v>
      </x:c>
      <x:c r="AA18" s="47" t="str">
        <x:v>Calculated from disclosed remaining capacity; cumulative shares summed from quarterly disclosures</x:v>
      </x:c>
      <x:c r="AB18" s="47" t="str">
        <x:v>A</x:v>
      </x:c>
      <x:c r="AC18" s="47" t="str">
        <x:v>https://ir.tal.com/2026-07-30-TAL-Education-Group-Announces-Unaudited-Financial-Results-for-the-First-Fiscal-Quarter-Ended-May-31%2C-2026</x:v>
      </x:c>
      <x:c r="AD18" s="47" t="str">
        <x:v>https://www.sec.gov/Archives/edgar/data/1499620/000110465925072676/tm2522195d1_ex99-1.htm</x:v>
      </x:c>
      <x:c r="AE18" s="47" t="str">
        <x:v>https://ir.tal.com/2026-07-30-TAL-Education-Group-Announces-Unaudited-Financial-Results-for-the-First-Fiscal-Quarter-Ended-May-31%2C-2026</x:v>
      </x:c>
      <x:c r="AF18" s="39" t="str">
        <x:v>Extended program permits up to ~US$393.7m further repurchases, implying US$206.3m used. Cumulative shares = 4,195,065 + 844,856 + 101,371 + 1,226,033.</x:v>
      </x:c>
      <x:c r="AG18" s="39" t="str">
        <x:v>The US$393.7m is remaining capacity under the original US$600m authorization, not a new US$393.7m program.</x:v>
      </x:c>
      <x:c r="AH18" s="50"/>
      <x:c r="AI18" s="39"/>
      <x:c r="AJ18" s="60"/>
      <x:c r="AK18" s="47"/>
      <x:c r="AL18" s="62"/>
      <x:c r="AM18" s="66"/>
      <x:c r="AN18" s="60"/>
      <x:c r="AO18" s="47"/>
      <x:c r="AP18" s="62"/>
      <x:c r="AQ18" s="66"/>
      <x:c r="AR18" s="64"/>
      <x:c r="AS18" s="47"/>
      <x:c r="AT18" s="66"/>
      <x:c r="AU18" s="100"/>
      <x:c r="AV18" s="50"/>
      <x:c r="AW18" s="50"/>
      <x:c r="AX18" s="50"/>
      <x:c r="AY18" s="47"/>
      <x:c r="AZ18" s="47"/>
      <x:c r="BA18" s="47"/>
      <x:c r="BB18" s="47"/>
      <x:c r="BC18" s="47"/>
      <x:c r="BD18" s="47"/>
      <x:c r="BE18" s="39"/>
      <x:c r="BF18" s="39"/>
    </x:row>
    <x:row r="19">
      <x:c r="A19" s="47" t="str">
        <x:v>New Oriental Education &amp; Technology Group Inc.</x:v>
      </x:c>
      <x:c r="B19" s="47" t="str">
        <x:v>EDU</x:v>
      </x:c>
      <x:c r="C19" s="47" t="str">
        <x:v>NYSE</x:v>
      </x:c>
      <x:c r="D19" s="47" t="str">
        <x:v>Yes</x:v>
      </x:c>
      <x:c r="E19" s="47" t="str">
        <x:v>HKEX</x:v>
      </x:c>
      <x:c r="F19" s="47" t="str">
        <x:v>9901</x:v>
      </x:c>
      <x:c r="G19" s="47" t="n">
        <x:v>2</x:v>
      </x:c>
      <x:c r="H19" s="39" t="str">
        <x:v>Two active formal share repurchase programs (FY2026 program still running and new FY2027 program).</x:v>
      </x:c>
      <x:c r="I19" s="50" t="n">
        <x:v>45958</x:v>
      </x:c>
      <x:c r="J19" s="39" t="str">
        <x:v>FY2026 share repurchase program up to US$300m over the subsequent 12 months.</x:v>
      </x:c>
      <x:c r="K19" s="60" t="n">
        <x:v>300</x:v>
      </x:c>
      <x:c r="L19" s="47" t="str">
        <x:v>USD</x:v>
      </x:c>
      <x:c r="M19" s="62" t="n">
        <x:v>1</x:v>
      </x:c>
      <x:c r="N19" s="66" t="n">
        <x:f>IF(OR(K19="",M19=""),"",K19/M19)</x:f>
        <x:v>300</x:v>
      </x:c>
      <x:c r="O19" s="60" t="n">
        <x:v>274</x:v>
      </x:c>
      <x:c r="P19" s="47" t="str">
        <x:v>USD</x:v>
      </x:c>
      <x:c r="Q19" s="62" t="n">
        <x:v>1</x:v>
      </x:c>
      <x:c r="R19" s="66" t="n">
        <x:f>IF(OR(O19="",Q19=""),"",O19/Q19)</x:f>
        <x:v>274</x:v>
      </x:c>
      <x:c r="S19" s="64" t="n">
        <x:v>51.5</x:v>
      </x:c>
      <x:c r="T19" s="47" t="str">
        <x:v>Common shares incl. ADS-represented (mm)</x:v>
      </x:c>
      <x:c r="U19" s="66" t="n">
        <x:f>IF(OR(N19="",R19=""),"",MAX(0,N19-R19))</x:f>
        <x:v>26</x:v>
      </x:c>
      <x:c r="V19" s="100" t="n">
        <x:f>IF(OR(N19="",R19="",N19=0),"",R19/N19)</x:f>
        <x:v>0.9133333333333333</x:v>
      </x:c>
      <x:c r="W19" s="50" t="n">
        <x:v>46322</x:v>
      </x:c>
      <x:c r="X19" s="50" t="n">
        <x:v>46231</x:v>
      </x:c>
      <x:c r="Y19" s="50" t="n">
        <x:v>46232</x:v>
      </x:c>
      <x:c r="Z19" s="47" t="str">
        <x:v>FY2026 results / Form 6-K</x:v>
      </x:c>
      <x:c r="AA19" s="47" t="str">
        <x:v>Company-disclosed cumulative execution</x:v>
      </x:c>
      <x:c r="AB19" s="47" t="str">
        <x:v>A</x:v>
      </x:c>
      <x:c r="AC19" s="47" t="str">
        <x:v>https://www.sec.gov/Archives/edgar/data/1372920/000119312526322173/d148153dex991.htm</x:v>
      </x:c>
      <x:c r="AD19" s="47" t="str">
        <x:v>https://www.sec.gov/Archives/edgar/data/1372920/000119312526168990/d90814dex991.htm</x:v>
      </x:c>
      <x:c r="AE19" s="47" t="str">
        <x:v>https://www.sec.gov/Archives/edgar/data/1372920/000119312526322173/d148153dex991.htm</x:v>
      </x:c>
      <x:c r="AF19" s="39" t="str">
        <x:v>As of 28-Jul-2026, company disclosed ~51.5m common shares repurchased for ~US$274m under the FY2026 program.</x:v>
      </x:c>
      <x:c r="AG19" s="39"/>
      <x:c r="AH19" s="50" t="n">
        <x:v>46232</x:v>
      </x:c>
      <x:c r="AI19" s="39" t="str">
        <x:v>FY2027 share repurchase program up to US$200m over the subsequent 12 months.</x:v>
      </x:c>
      <x:c r="AJ19" s="60" t="n">
        <x:v>200</x:v>
      </x:c>
      <x:c r="AK19" s="47" t="str">
        <x:v>USD</x:v>
      </x:c>
      <x:c r="AL19" s="62" t="n">
        <x:v>1</x:v>
      </x:c>
      <x:c r="AM19" s="66" t="n">
        <x:f>IF(OR(AJ19="",AL19=""),"",AJ19/AL19)</x:f>
        <x:v>200</x:v>
      </x:c>
      <x:c r="AN19" s="60"/>
      <x:c r="AO19" s="47" t="str">
        <x:v>USD</x:v>
      </x:c>
      <x:c r="AP19" s="62" t="n">
        <x:v>1</x:v>
      </x:c>
      <x:c r="AQ19" s="66" t="str">
        <x:f>IF(OR(AN19="",AP19=""),"",AN19/AP19)</x:f>
      </x:c>
      <x:c r="AR19" s="64"/>
      <x:c r="AS19" s="47"/>
      <x:c r="AT19" s="66" t="str">
        <x:f>IF(OR(AM19="",AQ19=""),"",MAX(0,AM19-AQ19))</x:f>
      </x:c>
      <x:c r="AU19" s="100" t="str">
        <x:f>IF(OR(AM19="",AQ19="",AM19=0),"",AQ19/AM19)</x:f>
      </x:c>
      <x:c r="AV19" s="50" t="n">
        <x:v>46596</x:v>
      </x:c>
      <x:c r="AW19" s="50" t="n">
        <x:v>46232</x:v>
      </x:c>
      <x:c r="AX19" s="50" t="n">
        <x:v>46232</x:v>
      </x:c>
      <x:c r="AY19" s="47" t="str">
        <x:v>FY2026 results / new-program announcement</x:v>
      </x:c>
      <x:c r="AZ19" s="47" t="str">
        <x:v>No post-announcement execution disclosure available by cutoff</x:v>
      </x:c>
      <x:c r="BA19" s="47" t="str">
        <x:v>C</x:v>
      </x:c>
      <x:c r="BB19" s="47" t="str">
        <x:v>https://www.sec.gov/Archives/edgar/data/1372920/000119312526322173/d148153dex991.htm</x:v>
      </x:c>
      <x:c r="BC19" s="47" t="str">
        <x:v>https://www.sec.gov/Archives/edgar/data/1372920/000119312526322173/d148153dex991.htm</x:v>
      </x:c>
      <x:c r="BD19" s="47" t="str">
        <x:v>https://www.sec.gov/Archives/edgar/data/1372920/000119312526322173/d148153dex991.htm</x:v>
      </x:c>
      <x:c r="BE19" s="39" t="str">
        <x:v>Newly authorized on 29-Jul-2026. Execution is intentionally blank rather than assumed to be zero because no later quarterly/annual execution report existed by 21-Aug-2026.</x:v>
      </x:c>
      <x:c r="BF19" s="39"/>
    </x:row>
    <x:row r="20">
      <x:c r="A20" s="47" t="str">
        <x:v>KANZHUN LIMITED</x:v>
      </x:c>
      <x:c r="B20" s="47" t="str">
        <x:v>BZ</x:v>
      </x:c>
      <x:c r="C20" s="47" t="str">
        <x:v>NASDAQ GS</x:v>
      </x:c>
      <x:c r="D20" s="47" t="str">
        <x:v>Yes</x:v>
      </x:c>
      <x:c r="E20" s="47" t="str">
        <x:v>HKEX</x:v>
      </x:c>
      <x:c r="F20" s="47" t="str">
        <x:v>2076</x:v>
      </x:c>
      <x:c r="G20" s="47" t="n">
        <x:v>1</x:v>
      </x:c>
      <x:c r="H20" s="39" t="str">
        <x:v>Active formal issuer repurchase authorization</x:v>
      </x:c>
      <x:c r="I20" s="50" t="n">
        <x:v>46099</x:v>
      </x:c>
      <x:c r="J20" s="39" t="str">
        <x:v>Existing program upsized to US$400m and extended through 28-Aug-2027.</x:v>
      </x:c>
      <x:c r="K20" s="60" t="n">
        <x:v>400</x:v>
      </x:c>
      <x:c r="L20" s="47" t="str">
        <x:v>USD</x:v>
      </x:c>
      <x:c r="M20" s="62" t="n">
        <x:v>1</x:v>
      </x:c>
      <x:c r="N20" s="66" t="n">
        <x:f>IF(OR(K20="",M20=""),"",K20/M20)</x:f>
        <x:v>400</x:v>
      </x:c>
      <x:c r="O20" s="60" t="n">
        <x:v>2060</x:v>
      </x:c>
      <x:c r="P20" s="47" t="str">
        <x:v>RMB</x:v>
      </x:c>
      <x:c r="Q20" s="62" t="n">
        <x:v>6.7851</x:v>
      </x:c>
      <x:c r="R20" s="66" t="n">
        <x:f>IF(OR(O20="",Q20=""),"",O20/Q20)</x:f>
        <x:v>303.6064317401365</x:v>
      </x:c>
      <x:c r="S20" s="64"/>
      <x:c r="T20" s="47"/>
      <x:c r="U20" s="66" t="n">
        <x:f>IF(OR(N20="",R20=""),"",MAX(0,N20-R20))</x:f>
        <x:v>96.39356825986351</x:v>
      </x:c>
      <x:c r="V20" s="100" t="n">
        <x:f>IF(OR(N20="",R20="",N20=0),"",R20/N20)</x:f>
        <x:v>0.7590160793503412</x:v>
      </x:c>
      <x:c r="W20" s="50" t="n">
        <x:v>46627</x:v>
      </x:c>
      <x:c r="X20" s="50" t="n">
        <x:v>46203</x:v>
      </x:c>
      <x:c r="Y20" s="50" t="n">
        <x:v>46204</x:v>
      </x:c>
      <x:c r="Z20" s="47" t="str">
        <x:v>H1-2026 buyback execution update</x:v>
      </x:c>
      <x:c r="AA20" s="47" t="str">
        <x:v>Lower bound; company disclosed 'over RMB2.06bn' repurchased in H1-2026</x:v>
      </x:c>
      <x:c r="AB20" s="47" t="str">
        <x:v>B</x:v>
      </x:c>
      <x:c r="AC20" s="47" t="str">
        <x:v>https://www.globenewswire.com/news-release/2026/07/01/3320480/0/en/boss-zhipin-s-ongoing-share-repurchases-reach-over-rmb2-06-billion-in-1h2026.html</x:v>
      </x:c>
      <x:c r="AD20" s="47" t="str">
        <x:v>https://www.globenewswire.com/news-release/2026/03/19/3258899/0/en/kanzhun-limited-announces-shareholder-return-target-through-dividend-distribution-and-extension-and-upsizing-of-share-repurchase-program.html</x:v>
      </x:c>
      <x:c r="AE20" s="47" t="str">
        <x:v>https://www.globenewswire.com/news-release/2026/07/01/3320480/0/en/boss-zhipin-s-ongoing-share-repurchases-reach-over-rmb2-06-billion-in-1h2026.html</x:v>
      </x:c>
      <x:c r="AF20" s="39" t="str">
        <x:v>Lower-bound USD conversion of &gt;RMB2.06bn H1-2026 purchases using RMB6.7851/US$ at 30-Jun-2026. Earlier program-term purchases are not added, so displayed completion is conservative.</x:v>
      </x:c>
      <x:c r="AG20" s="39" t="str">
        <x:v>Remaining capacity and completion are upper-/lower-bound respectively, not exact.</x:v>
      </x:c>
      <x:c r="AH20" s="50"/>
      <x:c r="AI20" s="39"/>
      <x:c r="AJ20" s="60"/>
      <x:c r="AK20" s="47"/>
      <x:c r="AL20" s="62"/>
      <x:c r="AM20" s="66"/>
      <x:c r="AN20" s="60"/>
      <x:c r="AO20" s="47"/>
      <x:c r="AP20" s="62"/>
      <x:c r="AQ20" s="66"/>
      <x:c r="AR20" s="64"/>
      <x:c r="AS20" s="47"/>
      <x:c r="AT20" s="66"/>
      <x:c r="AU20" s="100"/>
      <x:c r="AV20" s="50"/>
      <x:c r="AW20" s="50"/>
      <x:c r="AX20" s="50"/>
      <x:c r="AY20" s="47"/>
      <x:c r="AZ20" s="47"/>
      <x:c r="BA20" s="47"/>
      <x:c r="BB20" s="47"/>
      <x:c r="BC20" s="47"/>
      <x:c r="BD20" s="47"/>
      <x:c r="BE20" s="39"/>
      <x:c r="BF20" s="39"/>
    </x:row>
    <x:row r="21">
      <x:c r="A21" s="47" t="str">
        <x:v>Qfin Holdings, Inc.</x:v>
      </x:c>
      <x:c r="B21" s="47" t="str">
        <x:v>QFIN</x:v>
      </x:c>
      <x:c r="C21" s="47" t="str">
        <x:v>NASDAQ GS</x:v>
      </x:c>
      <x:c r="D21" s="47" t="str">
        <x:v>Yes</x:v>
      </x:c>
      <x:c r="E21" s="47" t="str">
        <x:v>HKEX</x:v>
      </x:c>
      <x:c r="F21" s="47" t="str">
        <x:v>3660</x:v>
      </x:c>
      <x:c r="G21" s="47" t="n">
        <x:v>1</x:v>
      </x:c>
      <x:c r="H21" s="39" t="str">
        <x:v>Active March-2025 repurchase plan. Fixed board cap is not stated; economic capacity is disclosed through note proceeds / remaining capacity.</x:v>
      </x:c>
      <x:c r="I21" s="50" t="n">
        <x:v>45741</x:v>
      </x:c>
      <x:c r="J21" s="39" t="str">
        <x:v>March-2025 Share Repurchase Plan funded with net proceeds from 2030 Notes; no definitive term.</x:v>
      </x:c>
      <x:c r="K21" s="60" t="n">
        <x:v>677</x:v>
      </x:c>
      <x:c r="L21" s="47" t="str">
        <x:v>USD</x:v>
      </x:c>
      <x:c r="M21" s="62" t="n">
        <x:v>1</x:v>
      </x:c>
      <x:c r="N21" s="66" t="n">
        <x:f>IF(OR(K21="",M21=""),"",K21/M21)</x:f>
        <x:v>677</x:v>
      </x:c>
      <x:c r="O21" s="60" t="n">
        <x:v>227</x:v>
      </x:c>
      <x:c r="P21" s="47" t="str">
        <x:v>USD</x:v>
      </x:c>
      <x:c r="Q21" s="62" t="n">
        <x:v>1</x:v>
      </x:c>
      <x:c r="R21" s="66" t="n">
        <x:f>IF(OR(O21="",Q21=""),"",O21/Q21)</x:f>
        <x:v>227</x:v>
      </x:c>
      <x:c r="S21" s="64" t="n">
        <x:v>5.1</x:v>
      </x:c>
      <x:c r="T21" s="47" t="str">
        <x:v>ADSs (mm)</x:v>
      </x:c>
      <x:c r="U21" s="66" t="n">
        <x:f>IF(OR(N21="",R21=""),"",MAX(0,N21-R21))</x:f>
        <x:v>450</x:v>
      </x:c>
      <x:c r="V21" s="100" t="n">
        <x:f>IF(OR(N21="",R21="",N21=0),"",R21/N21)</x:f>
        <x:v>0.3353028064992615</x:v>
      </x:c>
      <x:c r="W21" s="50" t="str">
        <x:v>No definitive term disclosed</x:v>
      </x:c>
      <x:c r="X21" s="50" t="n">
        <x:v>46022</x:v>
      </x:c>
      <x:c r="Y21" s="50" t="n">
        <x:v>46141</x:v>
      </x:c>
      <x:c r="Z21" s="47" t="str">
        <x:v>2025 Form 20-F</x:v>
      </x:c>
      <x:c r="AA21" s="47" t="str">
        <x:v>Implied economic capacity, not a formally stated fixed cap</x:v>
      </x:c>
      <x:c r="AB21" s="47" t="str">
        <x:v>B</x:v>
      </x:c>
      <x:c r="AC21" s="47" t="str">
        <x:v>https://www.sec.gov/Archives/edgar/data/1741530/000110465926049501/qfin-20251231x20f.htm</x:v>
      </x:c>
      <x:c r="AD21" s="47" t="str">
        <x:v>https://www.sec.gov/Archives/edgar/data/1741530/000110465926049501/qfin-20251231x20f.htm</x:v>
      </x:c>
      <x:c r="AE21" s="47" t="str">
        <x:v>https://www.sec.gov/Archives/edgar/data/1741530/000110465926049501/qfin-20251231x20f.htm</x:v>
      </x:c>
      <x:c r="AF21" s="39" t="str">
        <x:v>Company disclosed ~US$227m initial repurchase and ~US$450m buyback capacity remaining. US$677m is therefore an implied economic capacity, not a board-stated formal limit.</x:v>
      </x:c>
      <x:c r="AG21" s="39" t="str">
        <x:v>Separate US$450m 2025 Share Repurchase Plan was substantially fully utilized and expired; excluded from active programs.</x:v>
      </x:c>
      <x:c r="AH21" s="50"/>
      <x:c r="AI21" s="39"/>
      <x:c r="AJ21" s="60"/>
      <x:c r="AK21" s="47"/>
      <x:c r="AL21" s="62"/>
      <x:c r="AM21" s="66"/>
      <x:c r="AN21" s="60"/>
      <x:c r="AO21" s="47"/>
      <x:c r="AP21" s="62"/>
      <x:c r="AQ21" s="66"/>
      <x:c r="AR21" s="64"/>
      <x:c r="AS21" s="47"/>
      <x:c r="AT21" s="66"/>
      <x:c r="AU21" s="100"/>
      <x:c r="AV21" s="50"/>
      <x:c r="AW21" s="50"/>
      <x:c r="AX21" s="50"/>
      <x:c r="AY21" s="47"/>
      <x:c r="AZ21" s="47"/>
      <x:c r="BA21" s="47"/>
      <x:c r="BB21" s="47"/>
      <x:c r="BC21" s="47"/>
      <x:c r="BD21" s="47"/>
      <x:c r="BE21" s="39"/>
      <x:c r="BF21" s="39"/>
    </x:row>
    <x:row r="22">
      <x:c r="A22" s="47" t="str">
        <x:v>MINISO Group Holding Limited</x:v>
      </x:c>
      <x:c r="B22" s="47" t="str">
        <x:v>MNSO</x:v>
      </x:c>
      <x:c r="C22" s="47" t="str">
        <x:v>NYSE</x:v>
      </x:c>
      <x:c r="D22" s="47" t="str">
        <x:v>Yes</x:v>
      </x:c>
      <x:c r="E22" s="47" t="str">
        <x:v>HKEX</x:v>
      </x:c>
      <x:c r="F22" s="47" t="str">
        <x:v>9896</x:v>
      </x:c>
      <x:c r="G22" s="47" t="n">
        <x:v>1</x:v>
      </x:c>
      <x:c r="H22" s="39" t="str">
        <x:v>Active formal issuer repurchase authorization</x:v>
      </x:c>
      <x:c r="I22" s="50" t="n">
        <x:v>46202</x:v>
      </x:c>
      <x:c r="J22" s="39" t="str">
        <x:v>New HK$2.0bn share repurchase program over 12 months starting 30-Jun-2026.</x:v>
      </x:c>
      <x:c r="K22" s="60" t="n">
        <x:v>2000</x:v>
      </x:c>
      <x:c r="L22" s="47" t="str">
        <x:v>HKD</x:v>
      </x:c>
      <x:c r="M22" s="62" t="n">
        <x:v>7.8</x:v>
      </x:c>
      <x:c r="N22" s="66" t="n">
        <x:f>IF(OR(K22="",M22=""),"",K22/M22)</x:f>
        <x:v>256.4102564102564</x:v>
      </x:c>
      <x:c r="O22" s="60"/>
      <x:c r="P22" s="47" t="str">
        <x:v>HKD</x:v>
      </x:c>
      <x:c r="Q22" s="62" t="n">
        <x:v>7.8</x:v>
      </x:c>
      <x:c r="R22" s="66" t="str">
        <x:f>IF(OR(O22="",Q22=""),"",O22/Q22)</x:f>
      </x:c>
      <x:c r="S22" s="64"/>
      <x:c r="T22" s="47"/>
      <x:c r="U22" s="66" t="str">
        <x:f>IF(OR(N22="",R22=""),"",MAX(0,N22-R22))</x:f>
      </x:c>
      <x:c r="V22" s="100" t="str">
        <x:f>IF(OR(N22="",R22="",N22=0),"",R22/N22)</x:f>
      </x:c>
      <x:c r="W22" s="50" t="n">
        <x:v>46567</x:v>
      </x:c>
      <x:c r="X22" s="50" t="n">
        <x:v>46203</x:v>
      </x:c>
      <x:c r="Y22" s="50" t="n">
        <x:v>46202</x:v>
      </x:c>
      <x:c r="Z22" s="47" t="str">
        <x:v>Program announcement / Form 6-K</x:v>
      </x:c>
      <x:c r="AA22" s="47" t="str">
        <x:v>No post-launch quarterly/annual execution disclosure available by cutoff</x:v>
      </x:c>
      <x:c r="AB22" s="47" t="str">
        <x:v>C</x:v>
      </x:c>
      <x:c r="AC22" s="47" t="str">
        <x:v>https://www.sec.gov/Archives/edgar/data/1815846/000110465926079051/tm2619282d1_ex99-1.htm</x:v>
      </x:c>
      <x:c r="AD22" s="47" t="str">
        <x:v>https://www.sec.gov/Archives/edgar/data/1815846/000110465926079051/tm2619282d1_ex99-1.htm</x:v>
      </x:c>
      <x:c r="AE22" s="47" t="str">
        <x:v>https://www.sec.gov/Archives/edgar/data/1815846/000110465926079051/tm2619282d1_ex99-1.htm</x:v>
      </x:c>
      <x:c r="AF22" s="39" t="str">
        <x:v>US$ authorization equivalent is formula-converted at HK$7.80/US$. Execution left blank rather than assumed zero.</x:v>
      </x:c>
      <x:c r="AG22" s="39" t="str">
        <x:v>Separate automatic execution arrangement up to HK$800m is treated as an execution mechanism under this program, not a second authorization.</x:v>
      </x:c>
      <x:c r="AH22" s="50"/>
      <x:c r="AI22" s="39"/>
      <x:c r="AJ22" s="60"/>
      <x:c r="AK22" s="47"/>
      <x:c r="AL22" s="62"/>
      <x:c r="AM22" s="66"/>
      <x:c r="AN22" s="60"/>
      <x:c r="AO22" s="47"/>
      <x:c r="AP22" s="62"/>
      <x:c r="AQ22" s="66"/>
      <x:c r="AR22" s="64"/>
      <x:c r="AS22" s="47"/>
      <x:c r="AT22" s="66"/>
      <x:c r="AU22" s="100"/>
      <x:c r="AV22" s="50"/>
      <x:c r="AW22" s="50"/>
      <x:c r="AX22" s="50"/>
      <x:c r="AY22" s="47"/>
      <x:c r="AZ22" s="47"/>
      <x:c r="BA22" s="47"/>
      <x:c r="BB22" s="47"/>
      <x:c r="BC22" s="47"/>
      <x:c r="BD22" s="47"/>
      <x:c r="BE22" s="39"/>
      <x:c r="BF22" s="39"/>
    </x:row>
    <x:row r="23">
      <x:c r="A23" s="47" t="str">
        <x:v>WeRide Inc.</x:v>
      </x:c>
      <x:c r="B23" s="47" t="str">
        <x:v>WRD</x:v>
      </x:c>
      <x:c r="C23" s="47" t="str">
        <x:v>NASDAQ GM</x:v>
      </x:c>
      <x:c r="D23" s="47" t="str">
        <x:v>Yes</x:v>
      </x:c>
      <x:c r="E23" s="47" t="str">
        <x:v>HKEX</x:v>
      </x:c>
      <x:c r="F23" s="47" t="str">
        <x:v>0800</x:v>
      </x:c>
      <x:c r="G23" s="47" t="n">
        <x:v>1</x:v>
      </x:c>
      <x:c r="H23" s="39" t="str">
        <x:v>Active formal issuer repurchase authorization; almost fully utilized at latest reported date.</x:v>
      </x:c>
      <x:c r="I23" s="50" t="n">
        <x:v>46104</x:v>
      </x:c>
      <x:c r="J23" s="39" t="str">
        <x:v>US$100m repurchase program for Class A ordinary shares including ADSs over 12 months.</x:v>
      </x:c>
      <x:c r="K23" s="60" t="n">
        <x:v>100</x:v>
      </x:c>
      <x:c r="L23" s="47" t="str">
        <x:v>USD</x:v>
      </x:c>
      <x:c r="M23" s="62" t="n">
        <x:v>1</x:v>
      </x:c>
      <x:c r="N23" s="66" t="n">
        <x:f>IF(OR(K23="",M23=""),"",K23/M23)</x:f>
        <x:v>100</x:v>
      </x:c>
      <x:c r="O23" s="60"/>
      <x:c r="P23" s="47" t="str">
        <x:v>Mixed HKD + USD</x:v>
      </x:c>
      <x:c r="Q23" s="62"/>
      <x:c r="R23" s="60" t="n">
        <x:v>99.633</x:v>
      </x:c>
      <x:c r="S23" s="64" t="n">
        <x:v>40.4541</x:v>
      </x:c>
      <x:c r="T23" s="47" t="str">
        <x:v>Class A equivalent (mm)</x:v>
      </x:c>
      <x:c r="U23" s="66" t="n">
        <x:f>IF(OR(N23="",R23=""),"",MAX(0,N23-R23))</x:f>
        <x:v>0.36700000000000443</x:v>
      </x:c>
      <x:c r="V23" s="100" t="n">
        <x:f>IF(OR(N23="",R23="",N23=0),"",R23/N23)</x:f>
        <x:v>0.9963299999999999</x:v>
      </x:c>
      <x:c r="W23" s="50" t="n">
        <x:v>46468</x:v>
      </x:c>
      <x:c r="X23" s="50" t="n">
        <x:v>46203</x:v>
      </x:c>
      <x:c r="Y23" s="50" t="n">
        <x:v>46246</x:v>
      </x:c>
      <x:c r="Z23" s="47" t="str">
        <x:v>H1 2026 interim report / Form 6-K</x:v>
      </x:c>
      <x:c r="AA23" s="47" t="str">
        <x:v>Calculated from issuer-disclosed HKEX and Nasdaq purchase legs</x:v>
      </x:c>
      <x:c r="AB23" s="47" t="str">
        <x:v>B</x:v>
      </x:c>
      <x:c r="AC23" s="47" t="str">
        <x:v>https://ir.weride.ai/static-files/605ededd-c1a7-4a58-822f-8e5b3035cf1f</x:v>
      </x:c>
      <x:c r="AD23" s="47" t="str">
        <x:v>https://ir.weride.ai/static-files/47133420-9a1c-4189-80e3-e44a70aeec97</x:v>
      </x:c>
      <x:c r="AE23" s="47" t="str">
        <x:v>https://ir.weride.ai/static-files/605ededd-c1a7-4a58-822f-8e5b3035cf1f</x:v>
      </x:c>
      <x:c r="AF23" s="39" t="str">
        <x:v>HK$542.98m HKEX purchases / 7.80 + US$30.02m Nasdaq purchases = ~US$99.633m. Share count converts 3,501,001 ADSs at 1 ADS=3 Class A, then adds 29,951,097 HKEX Class A shares.</x:v>
      </x:c>
      <x:c r="AG23" s="39" t="str">
        <x:v>Remaining capacity is ~US$0.37m on stated FX assumption. No later quarterly/annual disclosure before cutoff showed formal completion.</x:v>
      </x:c>
      <x:c r="AH23" s="50"/>
      <x:c r="AI23" s="39"/>
      <x:c r="AJ23" s="60"/>
      <x:c r="AK23" s="47"/>
      <x:c r="AL23" s="62"/>
      <x:c r="AM23" s="66"/>
      <x:c r="AN23" s="60"/>
      <x:c r="AO23" s="47"/>
      <x:c r="AP23" s="62"/>
      <x:c r="AQ23" s="66"/>
      <x:c r="AR23" s="64"/>
      <x:c r="AS23" s="47"/>
      <x:c r="AT23" s="66"/>
      <x:c r="AU23" s="100"/>
      <x:c r="AV23" s="50"/>
      <x:c r="AW23" s="50"/>
      <x:c r="AX23" s="50"/>
      <x:c r="AY23" s="47"/>
      <x:c r="AZ23" s="47"/>
      <x:c r="BA23" s="47"/>
      <x:c r="BB23" s="47"/>
      <x:c r="BC23" s="47"/>
      <x:c r="BD23" s="47"/>
      <x:c r="BE23" s="39"/>
      <x:c r="BF23" s="39"/>
    </x:row>
    <x:row r="24">
      <x:c r="A24" s="47" t="str">
        <x:v>Atour Lifestyle Holdings Limited</x:v>
      </x:c>
      <x:c r="B24" s="47" t="str">
        <x:v>ATAT</x:v>
      </x:c>
      <x:c r="C24" s="47" t="str">
        <x:v>NASDAQ GS</x:v>
      </x:c>
      <x:c r="D24" s="47" t="str">
        <x:v>No</x:v>
      </x:c>
      <x:c r="E24" s="47"/>
      <x:c r="F24" s="47"/>
      <x:c r="G24" s="47" t="n">
        <x:v>1</x:v>
      </x:c>
      <x:c r="H24" s="39" t="str">
        <x:v>Active formal issuer repurchase authorization</x:v>
      </x:c>
      <x:c r="I24" s="50" t="n">
        <x:v>45799</x:v>
      </x:c>
      <x:c r="J24" s="39" t="str">
        <x:v>Three-year repurchase program up to US$400m of ordinary shares and/or ADSs.</x:v>
      </x:c>
      <x:c r="K24" s="60" t="n">
        <x:v>400</x:v>
      </x:c>
      <x:c r="L24" s="47" t="str">
        <x:v>USD</x:v>
      </x:c>
      <x:c r="M24" s="62" t="n">
        <x:v>1</x:v>
      </x:c>
      <x:c r="N24" s="66" t="n">
        <x:f>IF(OR(K24="",M24=""),"",K24/M24)</x:f>
        <x:v>400</x:v>
      </x:c>
      <x:c r="O24" s="60" t="n">
        <x:v>46</x:v>
      </x:c>
      <x:c r="P24" s="47" t="str">
        <x:v>USD</x:v>
      </x:c>
      <x:c r="Q24" s="62" t="n">
        <x:v>1</x:v>
      </x:c>
      <x:c r="R24" s="66" t="n">
        <x:f>IF(OR(O24="",Q24=""),"",O24/Q24)</x:f>
        <x:v>46</x:v>
      </x:c>
      <x:c r="S24" s="64" t="n">
        <x:v>1.178684</x:v>
      </x:c>
      <x:c r="T24" s="47" t="str">
        <x:v>ADSs (mm)</x:v>
      </x:c>
      <x:c r="U24" s="66" t="n">
        <x:f>IF(OR(N24="",R24=""),"",MAX(0,N24-R24))</x:f>
        <x:v>354</x:v>
      </x:c>
      <x:c r="V24" s="100" t="n">
        <x:f>IF(OR(N24="",R24="",N24=0),"",R24/N24)</x:f>
        <x:v>0.115</x:v>
      </x:c>
      <x:c r="W24" s="50" t="n">
        <x:v>46894</x:v>
      </x:c>
      <x:c r="X24" s="50" t="n">
        <x:v>46022</x:v>
      </x:c>
      <x:c r="Y24" s="50" t="n">
        <x:v>46129</x:v>
      </x:c>
      <x:c r="Z24" s="47" t="str">
        <x:v>2025 Form 20-F; 2026 quarterlies reviewed</x:v>
      </x:c>
      <x:c r="AA24" s="47" t="str">
        <x:v>Latest quantified cumulative execution located</x:v>
      </x:c>
      <x:c r="AB24" s="47" t="str">
        <x:v>B</x:v>
      </x:c>
      <x:c r="AC24" s="47" t="str">
        <x:v>https://ir.yaduo.com/financial-information/annual-reports/</x:v>
      </x:c>
      <x:c r="AD24" s="47" t="str">
        <x:v>https://ir.yaduo.com/</x:v>
      </x:c>
      <x:c r="AE24" s="47" t="str">
        <x:v>https://ir.yaduo.com/financial-information/annual-reports/</x:v>
      </x:c>
      <x:c r="AF24" s="39" t="str">
        <x:v>2025 annual filing disclosed 1,178,684 ADSs (~3,536,052 Class A ordinary shares) for ~US$46m through 31-Dec-2025. Later 2026 quarterlies reviewed did not give a newer quantified program balance.</x:v>
      </x:c>
      <x:c r="AG24" s="39" t="str">
        <x:v>Execution may have changed after 31-Dec-2025; data-as-of column makes this staleness explicit.</x:v>
      </x:c>
      <x:c r="AH24" s="50"/>
      <x:c r="AI24" s="39"/>
      <x:c r="AJ24" s="60"/>
      <x:c r="AK24" s="47"/>
      <x:c r="AL24" s="62"/>
      <x:c r="AM24" s="66"/>
      <x:c r="AN24" s="60"/>
      <x:c r="AO24" s="47"/>
      <x:c r="AP24" s="62"/>
      <x:c r="AQ24" s="66"/>
      <x:c r="AR24" s="64"/>
      <x:c r="AS24" s="47"/>
      <x:c r="AT24" s="66"/>
      <x:c r="AU24" s="100"/>
      <x:c r="AV24" s="50"/>
      <x:c r="AW24" s="50"/>
      <x:c r="AX24" s="50"/>
      <x:c r="AY24" s="47"/>
      <x:c r="AZ24" s="47"/>
      <x:c r="BA24" s="47"/>
      <x:c r="BB24" s="47"/>
      <x:c r="BC24" s="47"/>
      <x:c r="BD24" s="47"/>
      <x:c r="BE24" s="39"/>
      <x:c r="BF24" s="39"/>
    </x:row>
    <x:row r="25">
      <x:c r="A25" s="47" t="str">
        <x:v>RLX Technology Inc.</x:v>
      </x:c>
      <x:c r="B25" s="47" t="str">
        <x:v>RLX</x:v>
      </x:c>
      <x:c r="C25" s="47" t="str">
        <x:v>NYSE</x:v>
      </x:c>
      <x:c r="D25" s="47" t="str">
        <x:v>No</x:v>
      </x:c>
      <x:c r="E25" s="47"/>
      <x:c r="F25" s="47"/>
      <x:c r="G25" s="47" t="n">
        <x:v>1</x:v>
      </x:c>
      <x:c r="H25" s="39" t="str">
        <x:v>Active formal issuer repurchase authorization</x:v>
      </x:c>
      <x:c r="I25" s="50" t="n">
        <x:v>46022</x:v>
      </x:c>
      <x:c r="J25" s="39" t="str">
        <x:v>US$500m program extended for 24 months through 31-Dec-2027; authorization not reset.</x:v>
      </x:c>
      <x:c r="K25" s="60" t="n">
        <x:v>500</x:v>
      </x:c>
      <x:c r="L25" s="47" t="str">
        <x:v>USD</x:v>
      </x:c>
      <x:c r="M25" s="62" t="n">
        <x:v>1</x:v>
      </x:c>
      <x:c r="N25" s="66" t="n">
        <x:f>IF(OR(K25="",M25=""),"",K25/M25)</x:f>
        <x:v>500</x:v>
      </x:c>
      <x:c r="O25" s="60" t="n">
        <x:v>330</x:v>
      </x:c>
      <x:c r="P25" s="47" t="str">
        <x:v>USD</x:v>
      </x:c>
      <x:c r="Q25" s="62" t="n">
        <x:v>1</x:v>
      </x:c>
      <x:c r="R25" s="66" t="n">
        <x:f>IF(OR(O25="",Q25=""),"",O25/Q25)</x:f>
        <x:v>330</x:v>
      </x:c>
      <x:c r="S25" s="64" t="n">
        <x:v>170</x:v>
      </x:c>
      <x:c r="T25" s="47" t="str">
        <x:v>Ordinary shares represented by ADSs (mm)</x:v>
      </x:c>
      <x:c r="U25" s="66" t="n">
        <x:f>IF(OR(N25="",R25=""),"",MAX(0,N25-R25))</x:f>
        <x:v>170</x:v>
      </x:c>
      <x:c r="V25" s="100" t="n">
        <x:f>IF(OR(N25="",R25="",N25=0),"",R25/N25)</x:f>
        <x:v>0.66</x:v>
      </x:c>
      <x:c r="W25" s="50" t="n">
        <x:v>46752</x:v>
      </x:c>
      <x:c r="X25" s="50" t="n">
        <x:v>46022</x:v>
      </x:c>
      <x:c r="Y25" s="50" t="n">
        <x:v>46022</x:v>
      </x:c>
      <x:c r="Z25" s="47" t="str">
        <x:v>Program extension / latest quantified disclosure</x:v>
      </x:c>
      <x:c r="AA25" s="47" t="str">
        <x:v>Company-disclosed cumulative execution</x:v>
      </x:c>
      <x:c r="AB25" s="47" t="str">
        <x:v>A</x:v>
      </x:c>
      <x:c r="AC25" s="47" t="str">
        <x:v>https://ir.relxtech.com/2025-12-31-RLX-Technology-Extends-US-500-Million-Share-Repurchase-Program</x:v>
      </x:c>
      <x:c r="AD25" s="47" t="str">
        <x:v>https://ir.relxtech.com/2025-12-31-RLX-Technology-Extends-US-500-Million-Share-Repurchase-Program</x:v>
      </x:c>
      <x:c r="AE25" s="47" t="str">
        <x:v>https://ir.relxtech.com/2025-12-31-RLX-Technology-Extends-US-500-Million-Share-Repurchase-Program</x:v>
      </x:c>
      <x:c r="AF25" s="39" t="str">
        <x:v>Company disclosed ~170m ordinary shares repurchased for ~US$330m cumulatively as of 31-Dec-2025.</x:v>
      </x:c>
      <x:c r="AG25" s="39"/>
      <x:c r="AH25" s="50"/>
      <x:c r="AI25" s="39"/>
      <x:c r="AJ25" s="60"/>
      <x:c r="AK25" s="47"/>
      <x:c r="AL25" s="62"/>
      <x:c r="AM25" s="66"/>
      <x:c r="AN25" s="60"/>
      <x:c r="AO25" s="47"/>
      <x:c r="AP25" s="62"/>
      <x:c r="AQ25" s="66"/>
      <x:c r="AR25" s="64"/>
      <x:c r="AS25" s="47"/>
      <x:c r="AT25" s="66"/>
      <x:c r="AU25" s="100"/>
      <x:c r="AV25" s="50"/>
      <x:c r="AW25" s="50"/>
      <x:c r="AX25" s="50"/>
      <x:c r="AY25" s="47"/>
      <x:c r="AZ25" s="47"/>
      <x:c r="BA25" s="47"/>
      <x:c r="BB25" s="47"/>
      <x:c r="BC25" s="47"/>
      <x:c r="BD25" s="47"/>
      <x:c r="BE25" s="39"/>
      <x:c r="BF25" s="39"/>
    </x:row>
    <x:row r="26">
      <x:c r="A26" s="47" t="str">
        <x:v>Autohome Inc.</x:v>
      </x:c>
      <x:c r="B26" s="47" t="str">
        <x:v>ATHM</x:v>
      </x:c>
      <x:c r="C26" s="47" t="str">
        <x:v>NYSE</x:v>
      </x:c>
      <x:c r="D26" s="47" t="str">
        <x:v>Yes</x:v>
      </x:c>
      <x:c r="E26" s="47" t="str">
        <x:v>HKEX</x:v>
      </x:c>
      <x:c r="F26" s="47" t="str">
        <x:v>2518</x:v>
      </x:c>
      <x:c r="G26" s="47" t="n">
        <x:v>1</x:v>
      </x:c>
      <x:c r="H26" s="39" t="str">
        <x:v>Active new US$400m program; prior Mar-2026 US$200m program completed and excluded.</x:v>
      </x:c>
      <x:c r="I26" s="50" t="n">
        <x:v>46231</x:v>
      </x:c>
      <x:c r="J26" s="39" t="str">
        <x:v>New US$400m ADS repurchase program over the following 12 months.</x:v>
      </x:c>
      <x:c r="K26" s="60" t="n">
        <x:v>400</x:v>
      </x:c>
      <x:c r="L26" s="47" t="str">
        <x:v>USD</x:v>
      </x:c>
      <x:c r="M26" s="62" t="n">
        <x:v>1</x:v>
      </x:c>
      <x:c r="N26" s="66" t="n">
        <x:f>IF(OR(K26="",M26=""),"",K26/M26)</x:f>
        <x:v>400</x:v>
      </x:c>
      <x:c r="O26" s="60" t="n">
        <x:v>43.6</x:v>
      </x:c>
      <x:c r="P26" s="47" t="str">
        <x:v>USD</x:v>
      </x:c>
      <x:c r="Q26" s="62" t="n">
        <x:v>1</x:v>
      </x:c>
      <x:c r="R26" s="66" t="n">
        <x:f>IF(OR(O26="",Q26=""),"",O26/Q26)</x:f>
        <x:v>43.6</x:v>
      </x:c>
      <x:c r="S26" s="64" t="n">
        <x:v>1.895093</x:v>
      </x:c>
      <x:c r="T26" s="47" t="str">
        <x:v>ADSs (mm)</x:v>
      </x:c>
      <x:c r="U26" s="66" t="n">
        <x:f>IF(OR(N26="",R26=""),"",MAX(0,N26-R26))</x:f>
        <x:v>356.4</x:v>
      </x:c>
      <x:c r="V26" s="100" t="n">
        <x:f>IF(OR(N26="",R26="",N26=0),"",R26/N26)</x:f>
        <x:v>0.109</x:v>
      </x:c>
      <x:c r="W26" s="50" t="n">
        <x:v>46595</x:v>
      </x:c>
      <x:c r="X26" s="50" t="n">
        <x:v>46248</x:v>
      </x:c>
      <x:c r="Y26" s="50" t="n">
        <x:v>46254</x:v>
      </x:c>
      <x:c r="Z26" s="47" t="str">
        <x:v>Q2 / interim 2026 results</x:v>
      </x:c>
      <x:c r="AA26" s="47" t="str">
        <x:v>Company-disclosed execution under new program</x:v>
      </x:c>
      <x:c r="AB26" s="47" t="str">
        <x:v>A</x:v>
      </x:c>
      <x:c r="AC26" s="47" t="str">
        <x:v>https://www.prnewswire.com/news-releases/autohome-inc-announces-unaudited-second-quarter-and-interim-2026-financial-results-302856268.html</x:v>
      </x:c>
      <x:c r="AD26" s="47" t="str">
        <x:v>https://autohomeinc.gcs-web.com/news-releases/news-release-details/autohome-inc-announces-us400-million-new-share-repurchase</x:v>
      </x:c>
      <x:c r="AE26" s="47" t="str">
        <x:v>https://www.prnewswire.com/news-releases/autohome-inc-announces-unaudited-second-quarter-and-interim-2026-financial-results-302856268.html</x:v>
      </x:c>
      <x:c r="AF26" s="39" t="str">
        <x:v>Company disclosed 1,895,093 ADSs repurchased for US$43.6m under the new program through 14-Aug-2026.</x:v>
      </x:c>
      <x:c r="AG26" s="39" t="str">
        <x:v>Separate US$200m program announced 5-Mar-2026 was completed on 30-Jul-2026 and is excluded.</x:v>
      </x:c>
      <x:c r="AH26" s="50"/>
      <x:c r="AI26" s="39"/>
      <x:c r="AJ26" s="60"/>
      <x:c r="AK26" s="47"/>
      <x:c r="AL26" s="62"/>
      <x:c r="AM26" s="66"/>
      <x:c r="AN26" s="60"/>
      <x:c r="AO26" s="47"/>
      <x:c r="AP26" s="62"/>
      <x:c r="AQ26" s="66"/>
      <x:c r="AR26" s="64"/>
      <x:c r="AS26" s="47"/>
      <x:c r="AT26" s="66"/>
      <x:c r="AU26" s="100"/>
      <x:c r="AV26" s="50"/>
      <x:c r="AW26" s="50"/>
      <x:c r="AX26" s="50"/>
      <x:c r="AY26" s="47"/>
      <x:c r="AZ26" s="47"/>
      <x:c r="BA26" s="47"/>
      <x:c r="BB26" s="47"/>
      <x:c r="BC26" s="47"/>
      <x:c r="BD26" s="47"/>
      <x:c r="BE26" s="39"/>
      <x:c r="BF26" s="39"/>
    </x:row>
    <x:row r="27">
      <x:c r="A27" s="47" t="str">
        <x:v>Weibo Corporation</x:v>
      </x:c>
      <x:c r="B27" s="47" t="str">
        <x:v>WB</x:v>
      </x:c>
      <x:c r="C27" s="47" t="str">
        <x:v>NASDAQ GS</x:v>
      </x:c>
      <x:c r="D27" s="47" t="str">
        <x:v>Yes</x:v>
      </x:c>
      <x:c r="E27" s="47" t="str">
        <x:v>HKEX</x:v>
      </x:c>
      <x:c r="F27" s="47" t="str">
        <x:v>9898</x:v>
      </x:c>
      <x:c r="G27" s="47" t="n">
        <x:v>1</x:v>
      </x:c>
      <x:c r="H27" s="39" t="str">
        <x:v>Active formal issuer repurchase authorization</x:v>
      </x:c>
      <x:c r="I27" s="50" t="n">
        <x:v>46022</x:v>
      </x:c>
      <x:c r="J27" s="39" t="str">
        <x:v>US$200m share repurchase program over the following 12 months.</x:v>
      </x:c>
      <x:c r="K27" s="60" t="n">
        <x:v>200</x:v>
      </x:c>
      <x:c r="L27" s="47" t="str">
        <x:v>USD</x:v>
      </x:c>
      <x:c r="M27" s="62" t="n">
        <x:v>1</x:v>
      </x:c>
      <x:c r="N27" s="66" t="n">
        <x:f>IF(OR(K27="",M27=""),"",K27/M27)</x:f>
        <x:v>200</x:v>
      </x:c>
      <x:c r="O27" s="60"/>
      <x:c r="P27" s="47" t="str">
        <x:v>USD</x:v>
      </x:c>
      <x:c r="Q27" s="62" t="n">
        <x:v>1</x:v>
      </x:c>
      <x:c r="R27" s="66" t="str">
        <x:f>IF(OR(O27="",Q27=""),"",O27/Q27)</x:f>
      </x:c>
      <x:c r="S27" s="64"/>
      <x:c r="T27" s="47"/>
      <x:c r="U27" s="66" t="str">
        <x:f>IF(OR(N27="",R27=""),"",MAX(0,N27-R27))</x:f>
      </x:c>
      <x:c r="V27" s="100" t="str">
        <x:f>IF(OR(N27="",R27="",N27=0),"",R27/N27)</x:f>
      </x:c>
      <x:c r="W27" s="50" t="n">
        <x:v>46387</x:v>
      </x:c>
      <x:c r="X27" s="50" t="n">
        <x:v>46022</x:v>
      </x:c>
      <x:c r="Y27" s="50" t="n">
        <x:v>46140</x:v>
      </x:c>
      <x:c r="Z27" s="47" t="str">
        <x:v>2025 Form 20-F / program Form 6-K</x:v>
      </x:c>
      <x:c r="AA27" s="47" t="str">
        <x:v>No quantified execution under the new program located by cutoff</x:v>
      </x:c>
      <x:c r="AB27" s="47" t="str">
        <x:v>C</x:v>
      </x:c>
      <x:c r="AC27" s="47" t="str">
        <x:v>https://www.sec.gov/Archives/edgar/data/1595761/000110465926047217/wb-20251231x20f.htm</x:v>
      </x:c>
      <x:c r="AD27" s="47" t="str">
        <x:v>https://www.sec.gov/Archives/edgar/data/1595761/000110465925125383/tm2534497d1_6k.htm</x:v>
      </x:c>
      <x:c r="AE27" s="47" t="str">
        <x:v>https://www.sec.gov/Archives/edgar/data/1595761/000110465926047217/wb-20251231x20f.htm</x:v>
      </x:c>
      <x:c r="AF27" s="39" t="str">
        <x:v>Authorization is directly disclosed. Execution is intentionally blank rather than assumed zero because no quantified current-program execution disclosure was located by 21-Aug-2026.</x:v>
      </x:c>
      <x:c r="AG27" s="39"/>
      <x:c r="AH27" s="50"/>
      <x:c r="AI27" s="39"/>
      <x:c r="AJ27" s="60"/>
      <x:c r="AK27" s="47"/>
      <x:c r="AL27" s="62"/>
      <x:c r="AM27" s="66"/>
      <x:c r="AN27" s="60"/>
      <x:c r="AO27" s="47"/>
      <x:c r="AP27" s="62"/>
      <x:c r="AQ27" s="66"/>
      <x:c r="AR27" s="64"/>
      <x:c r="AS27" s="47"/>
      <x:c r="AT27" s="66"/>
      <x:c r="AU27" s="100"/>
      <x:c r="AV27" s="50"/>
      <x:c r="AW27" s="50"/>
      <x:c r="AX27" s="50"/>
      <x:c r="AY27" s="47"/>
      <x:c r="AZ27" s="47"/>
      <x:c r="BA27" s="47"/>
      <x:c r="BB27" s="47"/>
      <x:c r="BC27" s="47"/>
      <x:c r="BD27" s="47"/>
      <x:c r="BE27" s="39"/>
      <x:c r="BF27" s="39"/>
    </x:row>
    <x:row r="28">
      <x:c r="A28" s="47" t="str">
        <x:v>iQIYI, Inc.</x:v>
      </x:c>
      <x:c r="B28" s="47" t="str">
        <x:v>IQ</x:v>
      </x:c>
      <x:c r="C28" s="47" t="str">
        <x:v>NASDAQ GS</x:v>
      </x:c>
      <x:c r="D28" s="47" t="str">
        <x:v>Pending</x:v>
      </x:c>
      <x:c r="E28" s="47" t="str">
        <x:v>HKEX (proposed)</x:v>
      </x:c>
      <x:c r="F28" s="47" t="str">
        <x:v>Pending</x:v>
      </x:c>
      <x:c r="G28" s="47" t="n">
        <x:v>1</x:v>
      </x:c>
      <x:c r="H28" s="39" t="str">
        <x:v>Active formal issuer repurchase authorization. Proposed HKEX listing had not completed by 21-Aug-2026.</x:v>
      </x:c>
      <x:c r="I28" s="50" t="n">
        <x:v>46111</x:v>
      </x:c>
      <x:c r="J28" s="39" t="str">
        <x:v>US$100m share repurchase program over the following 18 months, effective immediately.</x:v>
      </x:c>
      <x:c r="K28" s="60" t="n">
        <x:v>100</x:v>
      </x:c>
      <x:c r="L28" s="47" t="str">
        <x:v>USD</x:v>
      </x:c>
      <x:c r="M28" s="62" t="n">
        <x:v>1</x:v>
      </x:c>
      <x:c r="N28" s="66" t="n">
        <x:f>IF(OR(K28="",M28=""),"",K28/M28)</x:f>
        <x:v>100</x:v>
      </x:c>
      <x:c r="O28" s="60" t="n">
        <x:v>24.1</x:v>
      </x:c>
      <x:c r="P28" s="47" t="str">
        <x:v>USD</x:v>
      </x:c>
      <x:c r="Q28" s="62" t="n">
        <x:v>1</x:v>
      </x:c>
      <x:c r="R28" s="66" t="n">
        <x:f>IF(OR(O28="",Q28=""),"",O28/Q28)</x:f>
        <x:v>24.1</x:v>
      </x:c>
      <x:c r="S28" s="64" t="n">
        <x:v>21.8</x:v>
      </x:c>
      <x:c r="T28" s="47" t="str">
        <x:v>ADSs (mm)</x:v>
      </x:c>
      <x:c r="U28" s="66" t="n">
        <x:f>IF(OR(N28="",R28=""),"",MAX(0,N28-R28))</x:f>
        <x:v>75.9</x:v>
      </x:c>
      <x:c r="V28" s="100" t="n">
        <x:f>IF(OR(N28="",R28="",N28=0),"",R28/N28)</x:f>
        <x:v>0.24100000000000002</x:v>
      </x:c>
      <x:c r="W28" s="50" t="n">
        <x:v>46660</x:v>
      </x:c>
      <x:c r="X28" s="50" t="n">
        <x:v>46203</x:v>
      </x:c>
      <x:c r="Y28" s="50" t="n">
        <x:v>46254</x:v>
      </x:c>
      <x:c r="Z28" s="47" t="str">
        <x:v>Q2 2026 results</x:v>
      </x:c>
      <x:c r="AA28" s="47" t="str">
        <x:v>Company-disclosed cumulative execution</x:v>
      </x:c>
      <x:c r="AB28" s="47" t="str">
        <x:v>A</x:v>
      </x:c>
      <x:c r="AC28" s="47" t="str">
        <x:v>https://ir.iqiyi.com/news-releases/news-release-details/iqiyi-announces-second-quarter-2026-financial-results</x:v>
      </x:c>
      <x:c r="AD28" s="47" t="str">
        <x:v>https://www.sec.gov/Archives/edgar/data/1722608/000119312526131759/d15446dex991.htm</x:v>
      </x:c>
      <x:c r="AE28" s="47" t="str">
        <x:v>https://ir.iqiyi.com/news-releases/news-release-details/iqiyi-announces-second-quarter-2026-financial-results</x:v>
      </x:c>
      <x:c r="AF28" s="39" t="str">
        <x:v>Company disclosed 21.8m ADSs repurchased for US$24.1m as of 30-Jun-2026.</x:v>
      </x:c>
      <x:c r="AG28" s="39" t="str">
        <x:v>HKEX listing was proposed/pending, not completed, as of workbook cutoff.</x:v>
      </x:c>
      <x:c r="AH28" s="50"/>
      <x:c r="AI28" s="39"/>
      <x:c r="AJ28" s="60"/>
      <x:c r="AK28" s="47"/>
      <x:c r="AL28" s="62"/>
      <x:c r="AM28" s="66"/>
      <x:c r="AN28" s="60"/>
      <x:c r="AO28" s="47"/>
      <x:c r="AP28" s="62"/>
      <x:c r="AQ28" s="66"/>
      <x:c r="AR28" s="64"/>
      <x:c r="AS28" s="47"/>
      <x:c r="AT28" s="66"/>
      <x:c r="AU28" s="100"/>
      <x:c r="AV28" s="50"/>
      <x:c r="AW28" s="50"/>
      <x:c r="AX28" s="50"/>
      <x:c r="AY28" s="47"/>
      <x:c r="AZ28" s="47"/>
      <x:c r="BA28" s="47"/>
      <x:c r="BB28" s="47"/>
      <x:c r="BC28" s="47"/>
      <x:c r="BD28" s="47"/>
      <x:c r="BE28" s="39"/>
      <x:c r="BF28" s="39"/>
    </x:row>
    <x:row r="29">
      <x:c r="A29" s="47" t="str">
        <x:v>GigaCloud Technology Inc.</x:v>
      </x:c>
      <x:c r="B29" s="47" t="str">
        <x:v>GCT</x:v>
      </x:c>
      <x:c r="C29" s="47" t="str">
        <x:v>NASDAQ GM</x:v>
      </x:c>
      <x:c r="D29" s="47" t="str">
        <x:v>No</x:v>
      </x:c>
      <x:c r="E29" s="47"/>
      <x:c r="F29" s="47"/>
      <x:c r="G29" s="47" t="n">
        <x:v>1</x:v>
      </x:c>
      <x:c r="H29" s="39" t="str">
        <x:v>Active new formal repurchase authorization; prior program terminated/replaced.</x:v>
      </x:c>
      <x:c r="I29" s="50" t="n">
        <x:v>46239</x:v>
      </x:c>
      <x:c r="J29" s="39" t="str">
        <x:v>New US$120m program, effective 6-Aug-2026 for three years; prior program terminated.</x:v>
      </x:c>
      <x:c r="K29" s="60" t="n">
        <x:v>120</x:v>
      </x:c>
      <x:c r="L29" s="47" t="str">
        <x:v>USD</x:v>
      </x:c>
      <x:c r="M29" s="62" t="n">
        <x:v>1</x:v>
      </x:c>
      <x:c r="N29" s="66" t="n">
        <x:f>IF(OR(K29="",M29=""),"",K29/M29)</x:f>
        <x:v>120</x:v>
      </x:c>
      <x:c r="O29" s="60"/>
      <x:c r="P29" s="47" t="str">
        <x:v>USD</x:v>
      </x:c>
      <x:c r="Q29" s="62" t="n">
        <x:v>1</x:v>
      </x:c>
      <x:c r="R29" s="66" t="str">
        <x:f>IF(OR(O29="",Q29=""),"",O29/Q29)</x:f>
      </x:c>
      <x:c r="S29" s="64"/>
      <x:c r="T29" s="47"/>
      <x:c r="U29" s="66" t="str">
        <x:f>IF(OR(N29="",R29=""),"",MAX(0,N29-R29))</x:f>
      </x:c>
      <x:c r="V29" s="100" t="str">
        <x:f>IF(OR(N29="",R29="",N29=0),"",R29/N29)</x:f>
      </x:c>
      <x:c r="W29" s="50" t="n">
        <x:v>47335</x:v>
      </x:c>
      <x:c r="X29" s="50" t="n">
        <x:v>46240</x:v>
      </x:c>
      <x:c r="Y29" s="50" t="n">
        <x:v>46240</x:v>
      </x:c>
      <x:c r="Z29" s="47" t="str">
        <x:v>Q2 2026 results / program announcement</x:v>
      </x:c>
      <x:c r="AA29" s="47" t="str">
        <x:v>No post-launch quarterly/annual execution disclosure available by cutoff</x:v>
      </x:c>
      <x:c r="AB29" s="47" t="str">
        <x:v>C</x:v>
      </x:c>
      <x:c r="AC29" s="47" t="str">
        <x:v>https://investors.gigacloudtech.com/news-releases/news-release-details/gigacloud-technology-inc-announces-second-quarter-and-six-1</x:v>
      </x:c>
      <x:c r="AD29" s="47" t="str">
        <x:v>https://investors.gigacloudtech.com/news-releases/news-release-details/gigacloud-technology-inc-announces-second-quarter-and-six-1</x:v>
      </x:c>
      <x:c r="AE29" s="47" t="str">
        <x:v>https://investors.gigacloudtech.com/news-releases/news-release-details/gigacloud-technology-inc-announces-second-quarter-and-six-1</x:v>
      </x:c>
      <x:c r="AF29" s="39" t="str">
        <x:v>New program became effective 6-Aug-2026. Execution is blank rather than assumed zero because no subsequent quarterly/annual execution disclosure existed by 21-Aug-2026.</x:v>
      </x:c>
      <x:c r="AG29" s="39" t="str">
        <x:v>Prior 2025 US$111m authorization was terminated/replaced.</x:v>
      </x:c>
      <x:c r="AH29" s="50"/>
      <x:c r="AI29" s="39"/>
      <x:c r="AJ29" s="60"/>
      <x:c r="AK29" s="47"/>
      <x:c r="AL29" s="62"/>
      <x:c r="AM29" s="66"/>
      <x:c r="AN29" s="60"/>
      <x:c r="AO29" s="47"/>
      <x:c r="AP29" s="62"/>
      <x:c r="AQ29" s="66"/>
      <x:c r="AR29" s="64"/>
      <x:c r="AS29" s="47"/>
      <x:c r="AT29" s="66"/>
      <x:c r="AU29" s="100"/>
      <x:c r="AV29" s="50"/>
      <x:c r="AW29" s="50"/>
      <x:c r="AX29" s="50"/>
      <x:c r="AY29" s="47"/>
      <x:c r="AZ29" s="47"/>
      <x:c r="BA29" s="47"/>
      <x:c r="BB29" s="47"/>
      <x:c r="BC29" s="47"/>
      <x:c r="BD29" s="47"/>
      <x:c r="BE29" s="39"/>
      <x:c r="BF29" s="39"/>
    </x:row>
  </x:sheetData>
  <x:mergeCells>
    <x:mergeCell ref="A3:H3"/>
    <x:mergeCell ref="I3:AG3"/>
    <x:mergeCell ref="AH3:BF3"/>
    <x:mergeCell ref="A1:H1"/>
    <x:mergeCell ref="A2:V2"/>
  </x:mergeCells>
  <x:conditionalFormatting sqref="AB5:AB29">
    <x:cfRule type="expression" dxfId="3" priority="1">
      <x:formula>AB5="A"</x:formula>
    </x:cfRule>
    <x:cfRule type="expression" dxfId="4" priority="2">
      <x:formula>AB5="B"</x:formula>
    </x:cfRule>
    <x:cfRule type="expression" dxfId="5" priority="3">
      <x:formula>AB5="C"</x:formula>
    </x:cfRule>
  </x:conditionalFormatting>
  <x:conditionalFormatting sqref="BA5:BA29">
    <x:cfRule type="expression" dxfId="6" priority="4">
      <x:formula>BA5="A"</x:formula>
    </x:cfRule>
    <x:cfRule type="expression" dxfId="7" priority="5">
      <x:formula>BA5="B"</x:formula>
    </x:cfRule>
    <x:cfRule type="expression" dxfId="8" priority="6">
      <x:formula>BA5="C"</x:formula>
    </x:cfRule>
  </x:conditionalFormatting>
  <x:conditionalFormatting sqref="V5:V29">
    <x:cfRule type="dataBar" priority="7">
      <x:dataBar>
        <x:cfvo type="min"/>
        <x:cfvo type="max"/>
        <x:color rgb="FF156082"/>
      </x:dataBar>
      <x:extLst>
        <x:ext xmlns:x14="http://schemas.microsoft.com/office/spreadsheetml/2009/9/main" uri="{B025F937-C7B1-47D3-B67F-A62EFF666E3E}">
          <x14:id>{D2A287DF-82C9-363A-6776-E95DB4417BA1}</x14:id>
        </x:ext>
      </x:extLst>
    </x:cfRule>
  </x:conditionalFormatting>
  <x:conditionalFormatting sqref="AU5:AU29">
    <x:cfRule type="dataBar" priority="8">
      <x:dataBar>
        <x:cfvo type="min"/>
        <x:cfvo type="max"/>
        <x:color rgb="FF0F9ED5"/>
      </x:dataBar>
      <x:extLst>
        <x:ext xmlns:x14="http://schemas.microsoft.com/office/spreadsheetml/2009/9/main" uri="{B025F937-C7B1-47D3-B67F-A62EFF666E3E}">
          <x14:id>{6BA863A4-8968-37C9-6F35-9229B10A0A00}</x14:id>
        </x:ext>
      </x:extLst>
    </x:cfRule>
  </x:conditionalFormatting>
  <x:pageMargins left="0.7" right="0.7" top="0.75" bottom="0.75" header="0.3" footer="0.3"/>
  <x:tableParts count="1">
    <x:tablePart xmlns:r="http://schemas.openxmlformats.org/officeDocument/2006/relationships" r:id="R68879bce96a745bf"/>
  </x:tableParts>
  <x:extLst>
    <x:ext xmlns:x14="http://schemas.microsoft.com/office/spreadsheetml/2009/9/main" xmlns:xm="http://schemas.microsoft.com/office/excel/2006/main" uri="{78C0D931-6437-407d-A8EE-F0AAD7539E65}">
      <x14:conditionalFormattings>
        <x14:conditionalFormatting>
          <x14:cfRule type="dataBar" priority="7" id="{D2A287DF-82C9-363A-6776-E95DB4417BA1}">
            <x14:dataBar gradient="1">
              <x14:cfvo type="min"/>
              <x14:cfvo type="max"/>
              <x14:fillColor rgb="FF156082"/>
            </x14:dataBar>
          </x14:cfRule>
          <xm:sqref>V5:V29</xm:sqref>
        </x14:conditionalFormatting>
        <x14:conditionalFormatting>
          <x14:cfRule type="dataBar" priority="8" id="{6BA863A4-8968-37C9-6F35-9229B10A0A00}">
            <x14:dataBar gradient="1">
              <x14:cfvo type="min"/>
              <x14:cfvo type="max"/>
              <x14:fillColor rgb="FF0F9ED5"/>
            </x14:dataBar>
          </x14:cfRule>
          <xm:sqref>AU5:AU29</xm:sqref>
        </x14:conditionalFormatting>
      </x14:conditionalFormattings>
    </x:ext>
  </x:extLst>
</x:worksheet>
</file>

<file path=xl/worksheets/sheet3.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4" hidden="0" customWidth="1"/>
    <x:col min="5" max="5" width="16" hidden="0" customWidth="1"/>
    <x:col min="6" max="6" width="15" hidden="0" customWidth="1"/>
    <x:col min="7" max="7" width="8" hidden="0" customWidth="1"/>
    <x:col min="8" max="8" width="13" hidden="0" customWidth="1"/>
    <x:col min="9" max="9" width="42" hidden="0" customWidth="1"/>
    <x:col min="10" max="10" width="15" hidden="0" customWidth="1"/>
    <x:col min="11" max="11" width="16" hidden="0" customWidth="1"/>
    <x:col min="12" max="12" width="14" hidden="0" customWidth="1"/>
    <x:col min="13" max="13" width="17" hidden="0" customWidth="1"/>
    <x:col min="14" max="14" width="16" hidden="0" customWidth="1"/>
    <x:col min="15" max="15" width="18" hidden="0" customWidth="1"/>
    <x:col min="16" max="16" width="12" hidden="0" customWidth="1"/>
    <x:col min="17" max="17" width="16" hidden="0" customWidth="1"/>
    <x:col min="18" max="18" width="16" hidden="0" customWidth="1"/>
    <x:col min="19" max="19" width="25" hidden="0" customWidth="1"/>
    <x:col min="20" max="20" width="16" hidden="0" customWidth="1"/>
    <x:col min="21" max="21" width="13" hidden="0" customWidth="1"/>
    <x:col min="22" max="22" width="18" hidden="0" customWidth="1"/>
    <x:col min="23" max="23" width="13" hidden="0" customWidth="1"/>
    <x:col min="24" max="24" width="15" hidden="0" customWidth="1"/>
    <x:col min="25" max="25" width="28" hidden="0" customWidth="1"/>
    <x:col min="26" max="26" width="33" hidden="0" customWidth="1"/>
    <x:col min="27" max="27" width="13" hidden="0" customWidth="1"/>
    <x:col min="28" max="28" width="42" hidden="0" customWidth="1"/>
    <x:col min="29" max="29" width="42" hidden="0" customWidth="1"/>
    <x:col min="30" max="30" width="42" hidden="0" customWidth="1"/>
    <x:col min="31" max="31" width="60" hidden="0" customWidth="1"/>
    <x:col min="32" max="32" width="55" hidden="0" customWidth="1"/>
  </x:cols>
  <x:sheetData>
    <x:row r="1">
      <x:c r="A1" s="4" t="str">
        <x:v>Active Share Buyback Programs — One Row per Program</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row>
    <x:row r="2">
      <x:c r="A2" s="43" t="str">
        <x:v>Cutoff: 2026-08-21. Amounts are US$mm unless stated. Blank execution fields mean 'not quantified in a post-launch quarterly/annual disclosure by cutoff', not zero.</x:v>
      </x:c>
      <x:c r="B2" s="43"/>
      <x:c r="C2" s="43"/>
      <x:c r="D2" s="43"/>
      <x:c r="E2" s="43"/>
      <x:c r="F2" s="43"/>
      <x:c r="G2" s="43"/>
      <x:c r="H2" s="43"/>
      <x:c r="I2" s="43"/>
      <x:c r="J2" s="43"/>
      <x:c r="K2" s="43"/>
      <x:c r="L2" s="43"/>
      <x:c r="M2" s="43"/>
      <x:c r="N2" s="43"/>
      <x:c r="O2" s="43"/>
      <x:c r="P2" s="43"/>
      <x:c r="Q2" s="43"/>
      <x:c r="R2" s="43"/>
      <x:c r="S2" s="43"/>
      <x:c r="T2" s="43"/>
      <x:c r="U2" s="43"/>
      <x:c r="V2" s="43"/>
      <x:c r="W2" s="43"/>
      <x:c r="X2" s="43"/>
      <x:c r="Y2" s="43"/>
      <x:c r="Z2" s="43"/>
      <x:c r="AA2" s="43"/>
      <x:c r="AB2" s="43"/>
      <x:c r="AC2" s="43"/>
      <x:c r="AD2" s="43"/>
      <x:c r="AE2" s="43"/>
      <x:c r="AF2" s="43"/>
    </x:row>
    <x:row r="4" ht="42" customHeight="1">
      <x:c r="A4" s="11" t="str">
        <x:v>Company</x:v>
      </x:c>
      <x:c r="B4" s="11" t="str">
        <x:v>US Ticker</x:v>
      </x:c>
      <x:c r="C4" s="11" t="str">
        <x:v>US Exchange</x:v>
      </x:c>
      <x:c r="D4" s="11" t="str">
        <x:v>Dual / Other Listed?</x:v>
      </x:c>
      <x:c r="E4" s="11" t="str">
        <x:v>Other Exchange</x:v>
      </x:c>
      <x:c r="F4" s="11" t="str">
        <x:v>Other Ticker</x:v>
      </x:c>
      <x:c r="G4" s="11" t="str">
        <x:v>Program #</x:v>
      </x:c>
      <x:c r="H4" s="11" t="str">
        <x:v>Announcement Date</x:v>
      </x:c>
      <x:c r="I4" s="11" t="str">
        <x:v>Program Description</x:v>
      </x:c>
      <x:c r="J4" s="11" t="str">
        <x:v>Limit Native (mm)</x:v>
      </x:c>
      <x:c r="K4" s="11" t="str">
        <x:v>Authorization Currency</x:v>
      </x:c>
      <x:c r="L4" s="11" t="str">
        <x:v>FX: Native / USD</x:v>
      </x:c>
      <x:c r="M4" s="11" t="str">
        <x:v>Program Limit (US$mm)</x:v>
      </x:c>
      <x:c r="N4" s="11" t="str">
        <x:v>Executed Native (mm)</x:v>
      </x:c>
      <x:c r="O4" s="11" t="str">
        <x:v>Execution Currency</x:v>
      </x:c>
      <x:c r="P4" s="11" t="str">
        <x:v>Execution FX</x:v>
      </x:c>
      <x:c r="Q4" s="11" t="str">
        <x:v>Executed (US$mm)</x:v>
      </x:c>
      <x:c r="R4" s="11" t="str">
        <x:v>Shares Executed (mm)</x:v>
      </x:c>
      <x:c r="S4" s="11" t="str">
        <x:v>Share Unit</x:v>
      </x:c>
      <x:c r="T4" s="11" t="str">
        <x:v>Remaining (US$mm)</x:v>
      </x:c>
      <x:c r="U4" s="11" t="str">
        <x:v>Completion %</x:v>
      </x:c>
      <x:c r="V4" s="11" t="str">
        <x:v>Target / Expiry</x:v>
      </x:c>
      <x:c r="W4" s="11" t="str">
        <x:v>Data As Of</x:v>
      </x:c>
      <x:c r="X4" s="11" t="str">
        <x:v>Latest Report Date</x:v>
      </x:c>
      <x:c r="Y4" s="11" t="str">
        <x:v>Latest Report Type</x:v>
      </x:c>
      <x:c r="Z4" s="11" t="str">
        <x:v>Amount Basis</x:v>
      </x:c>
      <x:c r="AA4" s="11" t="str">
        <x:v>Evidence Quality</x:v>
      </x:c>
      <x:c r="AB4" s="11" t="str">
        <x:v>Latest Report URL</x:v>
      </x:c>
      <x:c r="AC4" s="11" t="str">
        <x:v>Announcement URL</x:v>
      </x:c>
      <x:c r="AD4" s="11" t="str">
        <x:v>Execution Evidence URL</x:v>
      </x:c>
      <x:c r="AE4" s="11" t="str">
        <x:v>Method / Reconciliation</x:v>
      </x:c>
      <x:c r="AF4" s="11" t="str">
        <x:v>Notes</x:v>
      </x:c>
    </x:row>
    <x:row r="5">
      <x:c r="A5" s="47" t="str">
        <x:v>Alibaba Group Holding Ltd</x:v>
      </x:c>
      <x:c r="B5" s="47" t="str">
        <x:v>BABA</x:v>
      </x:c>
      <x:c r="C5" s="47" t="str">
        <x:v>NYSE</x:v>
      </x:c>
      <x:c r="D5" s="47" t="str">
        <x:v>Yes</x:v>
      </x:c>
      <x:c r="E5" s="47" t="str">
        <x:v>HKEX</x:v>
      </x:c>
      <x:c r="F5" s="47" t="str">
        <x:v>9988 / 89988</x:v>
      </x:c>
      <x:c r="G5" s="47" t="n">
        <x:v>1</x:v>
      </x:c>
      <x:c r="H5" s="50" t="n">
        <x:v>45329</x:v>
      </x:c>
      <x:c r="I5" s="39" t="str">
        <x:v>US$25bn upsize; aggregate authorization became US$35.3bn through Mar-2027.</x:v>
      </x:c>
      <x:c r="J5" s="60" t="n">
        <x:v>35300</x:v>
      </x:c>
      <x:c r="K5" s="47" t="str">
        <x:v>USD</x:v>
      </x:c>
      <x:c r="L5" s="62" t="n">
        <x:v>1</x:v>
      </x:c>
      <x:c r="M5" s="52" t="n">
        <x:f>IF(OR(J5="",L5=""),"",J5/L5)</x:f>
        <x:v>35300</x:v>
      </x:c>
      <x:c r="N5" s="60" t="n">
        <x:v>16362</x:v>
      </x:c>
      <x:c r="O5" s="47" t="str">
        <x:v>USD</x:v>
      </x:c>
      <x:c r="P5" s="62" t="n">
        <x:v>1</x:v>
      </x:c>
      <x:c r="Q5" s="66" t="n">
        <x:f>IF(OR(N5="",P5=""),"",N5/P5)</x:f>
        <x:v>16362</x:v>
      </x:c>
      <x:c r="R5" s="64"/>
      <x:c r="S5" s="47"/>
      <x:c r="T5" s="52" t="n">
        <x:f>IF(OR(M5="",Q5=""),"",MAX(0,M5-Q5))</x:f>
        <x:v>18938</x:v>
      </x:c>
      <x:c r="U5" s="58" t="n">
        <x:f>IF(OR(M5="",Q5="",M5=0),"",Q5/M5)</x:f>
        <x:v>0.4635127478753541</x:v>
      </x:c>
      <x:c r="V5" s="50" t="n">
        <x:v>46477</x:v>
      </x:c>
      <x:c r="W5" s="50" t="n">
        <x:v>46203</x:v>
      </x:c>
      <x:c r="X5" s="50" t="n">
        <x:v>46254</x:v>
      </x:c>
      <x:c r="Y5" s="39" t="str">
        <x:v>June quarter 2026 results + FY2026 annual report cross-check</x:v>
      </x:c>
      <x:c r="Z5" s="39" t="str">
        <x:v>Calculated from disclosed remaining capacity; latest-quarter purchase added</x:v>
      </x:c>
      <x:c r="AA5" s="39" t="str">
        <x:v>B</x:v>
      </x:c>
      <x:c r="AB5" s="39" t="str">
        <x:v>https://data.alibabagroup.com/ecms-files/1532295521/fa5d65fc-9b3e-4e82-a8fc-4ce1c3e2c407/Alibaba%20Group%20Announces%20June%20Quarter%202026%20Results.pdf</x:v>
      </x:c>
      <x:c r="AC5" s="39" t="str">
        <x:v>https://www.sec.gov/Archives/edgar/data/1577552/000110465924011604/tm245446d1_ex99-1.htm</x:v>
      </x:c>
      <x:c r="AD5" s="39" t="str">
        <x:v>https://home.alibabagroup.com/en-US/document-1910550772471300096</x:v>
      </x:c>
      <x:c r="AE5" s="39" t="str">
        <x:v>US$35.3bn authorization less US$19.1bn remaining at 30-Sep-2025 plus US$162m June-quarter 2026 repurchases. FY2026 annual report shows no Oct-2025–Mar-2026 repurchases, avoiding double count.</x:v>
      </x:c>
      <x:c r="AF5" s="39" t="str">
        <x:v>Program-to-date share count is not cleanly restated. Latest quarter: 13.4m ordinary shares (~1.7m ADSs) for US$162m.</x:v>
      </x:c>
    </x:row>
    <x:row r="6">
      <x:c r="A6" s="47" t="str">
        <x:v>NetEase, Inc.</x:v>
      </x:c>
      <x:c r="B6" s="47" t="str">
        <x:v>NTES</x:v>
      </x:c>
      <x:c r="C6" s="47" t="str">
        <x:v>NASDAQ GS</x:v>
      </x:c>
      <x:c r="D6" s="47" t="str">
        <x:v>Yes</x:v>
      </x:c>
      <x:c r="E6" s="47" t="str">
        <x:v>HKEX</x:v>
      </x:c>
      <x:c r="F6" s="47" t="str">
        <x:v>9999</x:v>
      </x:c>
      <x:c r="G6" s="47" t="n">
        <x:v>1</x:v>
      </x:c>
      <x:c r="H6" s="50" t="n">
        <x:v>45981</x:v>
      </x:c>
      <x:c r="I6" s="39" t="str">
        <x:v>Existing US$5.0bn program extended for another 36 months.</x:v>
      </x:c>
      <x:c r="J6" s="60" t="n">
        <x:v>5000</x:v>
      </x:c>
      <x:c r="K6" s="47" t="str">
        <x:v>USD</x:v>
      </x:c>
      <x:c r="L6" s="62" t="n">
        <x:v>1</x:v>
      </x:c>
      <x:c r="M6" s="52" t="n">
        <x:f>IF(OR(J6="",L6=""),"",J6/L6)</x:f>
        <x:v>5000</x:v>
      </x:c>
      <x:c r="N6" s="60" t="n">
        <x:v>2300</x:v>
      </x:c>
      <x:c r="O6" s="47" t="str">
        <x:v>USD</x:v>
      </x:c>
      <x:c r="P6" s="62" t="n">
        <x:v>1</x:v>
      </x:c>
      <x:c r="Q6" s="66" t="n">
        <x:f>IF(OR(N6="",P6=""),"",N6/P6)</x:f>
        <x:v>2300</x:v>
      </x:c>
      <x:c r="R6" s="64" t="n">
        <x:v>24.8</x:v>
      </x:c>
      <x:c r="S6" s="47" t="str">
        <x:v>ADSs (mm)</x:v>
      </x:c>
      <x:c r="T6" s="52" t="n">
        <x:f>IF(OR(M6="",Q6=""),"",MAX(0,M6-Q6))</x:f>
        <x:v>2700</x:v>
      </x:c>
      <x:c r="U6" s="58" t="n">
        <x:f>IF(OR(M6="",Q6="",M6=0),"",Q6/M6)</x:f>
        <x:v>0.46</x:v>
      </x:c>
      <x:c r="V6" s="50" t="n">
        <x:v>47127</x:v>
      </x:c>
      <x:c r="W6" s="50" t="n">
        <x:v>46203</x:v>
      </x:c>
      <x:c r="X6" s="50" t="n">
        <x:v>46254</x:v>
      </x:c>
      <x:c r="Y6" s="39" t="str">
        <x:v>Q2 / H1 2026 results</x:v>
      </x:c>
      <x:c r="Z6" s="39" t="str">
        <x:v>Company-disclosed cumulative program spend</x:v>
      </x:c>
      <x:c r="AA6" s="39" t="str">
        <x:v>A</x:v>
      </x:c>
      <x:c r="AB6" s="39" t="str">
        <x:v>https://www.prnewswire.com/news-releases/netease-announces-second-quarter-and-interim-2026-unaudited-financial-results-302856259.html</x:v>
      </x:c>
      <x:c r="AC6" s="39" t="str">
        <x:v>https://ir.netease.com/news-releases/news-release-details/netease-announces-third-quarter-2025-unaudited-financial-results</x:v>
      </x:c>
      <x:c r="AD6" s="39" t="str">
        <x:v>https://www.prnewswire.com/news-releases/netease-announces-second-quarter-and-interim-2026-unaudited-financial-results-302856259.html</x:v>
      </x:c>
      <x:c r="AE6" s="39" t="str">
        <x:v>Company disclosed approximately 24.8m ADSs repurchased for approximately US$2.3bn cumulatively as of 30-Jun-2026.</x:v>
      </x:c>
      <x:c r="AF6" s="39" t="str">
        <x:v>1 ADS = 5 ordinary shares.</x:v>
      </x:c>
    </x:row>
    <x:row r="7">
      <x:c r="A7" s="47" t="str">
        <x:v>JD.com, Inc.</x:v>
      </x:c>
      <x:c r="B7" s="47" t="str">
        <x:v>JD</x:v>
      </x:c>
      <x:c r="C7" s="47" t="str">
        <x:v>NASDAQ GS</x:v>
      </x:c>
      <x:c r="D7" s="47" t="str">
        <x:v>Yes</x:v>
      </x:c>
      <x:c r="E7" s="47" t="str">
        <x:v>HKEX</x:v>
      </x:c>
      <x:c r="F7" s="47" t="str">
        <x:v>9618 / 89618</x:v>
      </x:c>
      <x:c r="G7" s="47" t="n">
        <x:v>1</x:v>
      </x:c>
      <x:c r="H7" s="50" t="n">
        <x:v>45531</x:v>
      </x:c>
      <x:c r="I7" s="39" t="str">
        <x:v>New US$5.0bn program, effective Sep-2024 through end-Aug-2027.</x:v>
      </x:c>
      <x:c r="J7" s="60" t="n">
        <x:v>5000</x:v>
      </x:c>
      <x:c r="K7" s="47" t="str">
        <x:v>USD</x:v>
      </x:c>
      <x:c r="L7" s="62" t="n">
        <x:v>1</x:v>
      </x:c>
      <x:c r="M7" s="52" t="n">
        <x:f>IF(OR(J7="",L7=""),"",J7/L7)</x:f>
        <x:v>5000</x:v>
      </x:c>
      <x:c r="N7" s="60" t="n">
        <x:v>4000</x:v>
      </x:c>
      <x:c r="O7" s="47" t="str">
        <x:v>USD</x:v>
      </x:c>
      <x:c r="P7" s="62" t="n">
        <x:v>1</x:v>
      </x:c>
      <x:c r="Q7" s="66" t="n">
        <x:f>IF(OR(N7="",P7=""),"",N7/P7)</x:f>
        <x:v>4000</x:v>
      </x:c>
      <x:c r="R7" s="64" t="n">
        <x:v>126.5</x:v>
      </x:c>
      <x:c r="S7" s="47" t="str">
        <x:v>ADS equivalent (mm)</x:v>
      </x:c>
      <x:c r="T7" s="52" t="n">
        <x:f>IF(OR(M7="",Q7=""),"",MAX(0,M7-Q7))</x:f>
        <x:v>1000</x:v>
      </x:c>
      <x:c r="U7" s="58" t="n">
        <x:f>IF(OR(M7="",Q7="",M7=0),"",Q7/M7)</x:f>
        <x:v>0.8</x:v>
      </x:c>
      <x:c r="V7" s="50" t="n">
        <x:v>46630</x:v>
      </x:c>
      <x:c r="W7" s="50" t="n">
        <x:v>46203</x:v>
      </x:c>
      <x:c r="X7" s="50" t="n">
        <x:v>46247</x:v>
      </x:c>
      <x:c r="Y7" s="39" t="str">
        <x:v>Q2 / interim 2026 results</x:v>
      </x:c>
      <x:c r="Z7" s="39" t="str">
        <x:v>Calculated from company-disclosed remaining authorization; share count accumulated from disclosed periods</x:v>
      </x:c>
      <x:c r="AA7" s="39" t="str">
        <x:v>A</x:v>
      </x:c>
      <x:c r="AB7" s="39" t="str">
        <x:v>https://ir.jd.com/news-releases/news-release-details/jdcom-announces-second-quarter-and-interim-2026-results</x:v>
      </x:c>
      <x:c r="AC7" s="39" t="str">
        <x:v>https://ir.jd.com/zh-hans/news-releases/news-release-details/jdcom-announces-us50-billion-new-share-repurchase-program</x:v>
      </x:c>
      <x:c r="AD7" s="39" t="str">
        <x:v>https://ir.jd.com/news-releases/news-release-details/jdcom-announces-second-quarter-and-interim-2026-results</x:v>
      </x:c>
      <x:c r="AE7" s="39" t="str">
        <x:v>US$1.0bn remaining at 30-Jun-2026 implies US$4.0bn executed. 91.6m ADS-equivalent in 2025 plus 34.9m in H1-2026.</x:v>
      </x:c>
      <x:c r="AF7" s="39" t="str">
        <x:v>1 ADS = 2 Class A ordinary shares.</x:v>
      </x:c>
    </x:row>
    <x:row r="8">
      <x:c r="A8" s="47" t="str">
        <x:v>Trip.com Group Ltd</x:v>
      </x:c>
      <x:c r="B8" s="47" t="str">
        <x:v>TCOM</x:v>
      </x:c>
      <x:c r="C8" s="47" t="str">
        <x:v>NASDAQ GS</x:v>
      </x:c>
      <x:c r="D8" s="47" t="str">
        <x:v>Yes</x:v>
      </x:c>
      <x:c r="E8" s="47" t="str">
        <x:v>HKEX</x:v>
      </x:c>
      <x:c r="F8" s="47" t="str">
        <x:v>9961</x:v>
      </x:c>
      <x:c r="G8" s="47" t="n">
        <x:v>1</x:v>
      </x:c>
      <x:c r="H8" s="50" t="n">
        <x:v>45896</x:v>
      </x:c>
      <x:c r="I8" s="39" t="str">
        <x:v>New multi-year repurchase authorization up to US$5.0bn; no set expiration date.</x:v>
      </x:c>
      <x:c r="J8" s="60" t="n">
        <x:v>5000</x:v>
      </x:c>
      <x:c r="K8" s="47" t="str">
        <x:v>USD</x:v>
      </x:c>
      <x:c r="L8" s="62" t="n">
        <x:v>1</x:v>
      </x:c>
      <x:c r="M8" s="52" t="n">
        <x:f>IF(OR(J8="",L8=""),"",J8/L8)</x:f>
        <x:v>5000</x:v>
      </x:c>
      <x:c r="N8" s="60"/>
      <x:c r="O8" s="47" t="str">
        <x:v>USD</x:v>
      </x:c>
      <x:c r="P8" s="62" t="n">
        <x:v>1</x:v>
      </x:c>
      <x:c r="Q8" s="66" t="str">
        <x:f>IF(OR(N8="",P8=""),"",N8/P8)</x:f>
      </x:c>
      <x:c r="R8" s="64"/>
      <x:c r="S8" s="47"/>
      <x:c r="T8" s="52" t="str">
        <x:f>IF(OR(M8="",Q8=""),"",MAX(0,M8-Q8))</x:f>
      </x:c>
      <x:c r="U8" s="58" t="str">
        <x:f>IF(OR(M8="",Q8="",M8=0),"",Q8/M8)</x:f>
      </x:c>
      <x:c r="V8" s="50" t="str">
        <x:v>No fixed expiry disclosed</x:v>
      </x:c>
      <x:c r="W8" s="50" t="n">
        <x:v>46022</x:v>
      </x:c>
      <x:c r="X8" s="50" t="n">
        <x:v>46140</x:v>
      </x:c>
      <x:c r="Y8" s="39" t="str">
        <x:v>2025 Form 20-F</x:v>
      </x:c>
      <x:c r="Z8" s="39" t="str">
        <x:v>Per-program execution not separable in latest annual report</x:v>
      </x:c>
      <x:c r="AA8" s="39" t="str">
        <x:v>B</x:v>
      </x:c>
      <x:c r="AB8" s="39" t="str">
        <x:v>https://www.sec.gov/Archives/edgar/data/1269238/000119312526183379/d27369d20f.htm</x:v>
      </x:c>
      <x:c r="AC8" s="39" t="str">
        <x:v>https://www.sec.gov/Archives/edgar/data/1269238/000119312525190294/d908311dex991.htm</x:v>
      </x:c>
      <x:c r="AD8" s="39" t="str">
        <x:v>https://www.sec.gov/Archives/edgar/data/1269238/000119312526183379/d27369d20f.htm</x:v>
      </x:c>
      <x:c r="AE8" s="39" t="str">
        <x:v>Issuer disclosed approximately US$5.068bn of aggregate unused capacity across active plans at 31-Dec-2025; it did not allocate the balance between the 2025 authorization and legacy 2014 plan.</x:v>
      </x:c>
      <x:c r="AF8" s="39" t="str">
        <x:v>Do not mechanically allocate the aggregate residual balance to either program.</x:v>
      </x:c>
    </x:row>
    <x:row r="9">
      <x:c r="A9" s="47" t="str">
        <x:v>Trip.com Group Ltd</x:v>
      </x:c>
      <x:c r="B9" s="47" t="str">
        <x:v>TCOM</x:v>
      </x:c>
      <x:c r="C9" s="47" t="str">
        <x:v>NASDAQ GS</x:v>
      </x:c>
      <x:c r="D9" s="47" t="str">
        <x:v>Yes</x:v>
      </x:c>
      <x:c r="E9" s="47" t="str">
        <x:v>HKEX</x:v>
      </x:c>
      <x:c r="F9" s="47" t="str">
        <x:v>9961</x:v>
      </x:c>
      <x:c r="G9" s="47" t="n">
        <x:v>2</x:v>
      </x:c>
      <x:c r="H9" s="50" t="n">
        <x:v>41732</x:v>
      </x:c>
      <x:c r="I9" s="39" t="str">
        <x:v>Legacy 2014 Repurchase Plan, up to US$600m ADSs; no fixed expiry disclosed.</x:v>
      </x:c>
      <x:c r="J9" s="60" t="n">
        <x:v>600</x:v>
      </x:c>
      <x:c r="K9" s="47" t="str">
        <x:v>USD</x:v>
      </x:c>
      <x:c r="L9" s="62" t="n">
        <x:v>1</x:v>
      </x:c>
      <x:c r="M9" s="52" t="n">
        <x:f>IF(OR(J9="",L9=""),"",J9/L9)</x:f>
        <x:v>600</x:v>
      </x:c>
      <x:c r="N9" s="60"/>
      <x:c r="O9" s="47" t="str">
        <x:v>USD</x:v>
      </x:c>
      <x:c r="P9" s="62" t="n">
        <x:v>1</x:v>
      </x:c>
      <x:c r="Q9" s="66" t="str">
        <x:f>IF(OR(N9="",P9=""),"",N9/P9)</x:f>
      </x:c>
      <x:c r="R9" s="64"/>
      <x:c r="S9" s="47"/>
      <x:c r="T9" s="52" t="str">
        <x:f>IF(OR(M9="",Q9=""),"",MAX(0,M9-Q9))</x:f>
      </x:c>
      <x:c r="U9" s="58" t="str">
        <x:f>IF(OR(M9="",Q9="",M9=0),"",Q9/M9)</x:f>
      </x:c>
      <x:c r="V9" s="50" t="str">
        <x:v>No fixed expiry disclosed</x:v>
      </x:c>
      <x:c r="W9" s="50" t="n">
        <x:v>46022</x:v>
      </x:c>
      <x:c r="X9" s="50" t="n">
        <x:v>46140</x:v>
      </x:c>
      <x:c r="Y9" s="39" t="str">
        <x:v>2025 Form 20-F</x:v>
      </x:c>
      <x:c r="Z9" s="39" t="str">
        <x:v>Per-program execution not separable in latest annual report</x:v>
      </x:c>
      <x:c r="AA9" s="39" t="str">
        <x:v>B</x:v>
      </x:c>
      <x:c r="AB9" s="39" t="str">
        <x:v>https://www.sec.gov/Archives/edgar/data/1269238/000119312526183379/d27369d20f.htm</x:v>
      </x:c>
      <x:c r="AC9" s="39" t="str">
        <x:v>https://investors.trip.com/static-files/1b201c7a-d3f4-4f77-b415-cac7e175942c</x:v>
      </x:c>
      <x:c r="AD9" s="39" t="str">
        <x:v>https://www.sec.gov/Archives/edgar/data/1269238/000119312526183379/d27369d20f.htm</x:v>
      </x:c>
      <x:c r="AE9" s="39" t="str">
        <x:v>Legacy plan remains referenced with residual capacity, but latest issuer reporting aggregates remaining capacity with the newer US$5.0bn authorization.</x:v>
      </x:c>
      <x:c r="AF9" s="39" t="str">
        <x:v>Aggregate remaining across the two active plans was ~US$5.068bn at 31-Dec-2025.</x:v>
      </x:c>
    </x:row>
    <x:row r="10">
      <x:c r="A10" s="47" t="str">
        <x:v>Baidu, Inc.</x:v>
      </x:c>
      <x:c r="B10" s="47" t="str">
        <x:v>BIDU</x:v>
      </x:c>
      <x:c r="C10" s="47" t="str">
        <x:v>NASDAQ GS</x:v>
      </x:c>
      <x:c r="D10" s="47" t="str">
        <x:v>Yes</x:v>
      </x:c>
      <x:c r="E10" s="47" t="str">
        <x:v>HKEX</x:v>
      </x:c>
      <x:c r="F10" s="47" t="str">
        <x:v>9888 / 89888</x:v>
      </x:c>
      <x:c r="G10" s="47" t="n">
        <x:v>1</x:v>
      </x:c>
      <x:c r="H10" s="50" t="n">
        <x:v>46057</x:v>
      </x:c>
      <x:c r="I10" s="39" t="str">
        <x:v>New US$5.0bn repurchase program through 31-Dec-2028.</x:v>
      </x:c>
      <x:c r="J10" s="60" t="n">
        <x:v>5000</x:v>
      </x:c>
      <x:c r="K10" s="47" t="str">
        <x:v>USD</x:v>
      </x:c>
      <x:c r="L10" s="62" t="n">
        <x:v>1</x:v>
      </x:c>
      <x:c r="M10" s="52" t="n">
        <x:f>IF(OR(J10="",L10=""),"",J10/L10)</x:f>
        <x:v>5000</x:v>
      </x:c>
      <x:c r="N10" s="60" t="n">
        <x:v>259</x:v>
      </x:c>
      <x:c r="O10" s="47" t="str">
        <x:v>USD</x:v>
      </x:c>
      <x:c r="P10" s="62" t="n">
        <x:v>1</x:v>
      </x:c>
      <x:c r="Q10" s="66" t="n">
        <x:f>IF(OR(N10="",P10=""),"",N10/P10)</x:f>
        <x:v>259</x:v>
      </x:c>
      <x:c r="R10" s="64"/>
      <x:c r="S10" s="47"/>
      <x:c r="T10" s="52" t="n">
        <x:f>IF(OR(M10="",Q10=""),"",MAX(0,M10-Q10))</x:f>
        <x:v>4741</x:v>
      </x:c>
      <x:c r="U10" s="58" t="n">
        <x:f>IF(OR(M10="",Q10="",M10=0),"",Q10/M10)</x:f>
        <x:v>0.0518</x:v>
      </x:c>
      <x:c r="V10" s="50" t="n">
        <x:v>47118</x:v>
      </x:c>
      <x:c r="W10" s="50" t="n">
        <x:v>46203</x:v>
      </x:c>
      <x:c r="X10" s="50" t="n">
        <x:v>46252</x:v>
      </x:c>
      <x:c r="Y10" s="39" t="str">
        <x:v>Q2 2026 results</x:v>
      </x:c>
      <x:c r="Z10" s="39" t="str">
        <x:v>Company-disclosed cumulative current-program spend</x:v>
      </x:c>
      <x:c r="AA10" s="39" t="str">
        <x:v>A</x:v>
      </x:c>
      <x:c r="AB10" s="39" t="str">
        <x:v>https://baidu.gcs-web.com/news-releases/news-release-details/baidu-announces-second-quarter-2026-results</x:v>
      </x:c>
      <x:c r="AC10" s="39" t="str">
        <x:v>https://baidu.gcs-web.com/</x:v>
      </x:c>
      <x:c r="AD10" s="39" t="str">
        <x:v>https://baidu.gcs-web.com/news-releases/news-release-details/baidu-announces-second-quarter-2026-results</x:v>
      </x:c>
      <x:c r="AE10" s="39" t="str">
        <x:v>Company reported US$259m returned through repurchases under the current program since the beginning of Q1-2026.</x:v>
      </x:c>
      <x:c r="AF10" s="39" t="str">
        <x:v>Cumulative share count was not separately stated in the headline execution disclosure reviewed.</x:v>
      </x:c>
    </x:row>
    <x:row r="11">
      <x:c r="A11" s="47" t="str">
        <x:v>Li Auto Inc.</x:v>
      </x:c>
      <x:c r="B11" s="47" t="str">
        <x:v>LI</x:v>
      </x:c>
      <x:c r="C11" s="47" t="str">
        <x:v>NASDAQ GS</x:v>
      </x:c>
      <x:c r="D11" s="47" t="str">
        <x:v>Yes</x:v>
      </x:c>
      <x:c r="E11" s="47" t="str">
        <x:v>HKEX</x:v>
      </x:c>
      <x:c r="F11" s="47" t="str">
        <x:v>2015</x:v>
      </x:c>
      <x:c r="G11" s="47" t="n">
        <x:v>1</x:v>
      </x:c>
      <x:c r="H11" s="50" t="n">
        <x:v>46105</x:v>
      </x:c>
      <x:c r="I11" s="39" t="str">
        <x:v>Board authorization to repurchase up to US$1.0bn through 31-Mar-2027.</x:v>
      </x:c>
      <x:c r="J11" s="60" t="n">
        <x:v>1000</x:v>
      </x:c>
      <x:c r="K11" s="47" t="str">
        <x:v>USD</x:v>
      </x:c>
      <x:c r="L11" s="62" t="n">
        <x:v>1</x:v>
      </x:c>
      <x:c r="M11" s="52" t="n">
        <x:f>IF(OR(J11="",L11=""),"",J11/L11)</x:f>
        <x:v>1000</x:v>
      </x:c>
      <x:c r="N11" s="60" t="n">
        <x:v>139.7</x:v>
      </x:c>
      <x:c r="O11" s="47" t="str">
        <x:v>USD</x:v>
      </x:c>
      <x:c r="P11" s="62" t="n">
        <x:v>1</x:v>
      </x:c>
      <x:c r="Q11" s="66" t="n">
        <x:f>IF(OR(N11="",P11=""),"",N11/P11)</x:f>
        <x:v>139.7</x:v>
      </x:c>
      <x:c r="R11" s="64" t="n">
        <x:v>6.7</x:v>
      </x:c>
      <x:c r="S11" s="47" t="str">
        <x:v>ADSs (mm)</x:v>
      </x:c>
      <x:c r="T11" s="52" t="n">
        <x:f>IF(OR(M11="",Q11=""),"",MAX(0,M11-Q11))</x:f>
        <x:v>860.3</x:v>
      </x:c>
      <x:c r="U11" s="58" t="n">
        <x:f>IF(OR(M11="",Q11="",M11=0),"",Q11/M11)</x:f>
        <x:v>0.1397</x:v>
      </x:c>
      <x:c r="V11" s="50" t="n">
        <x:v>46477</x:v>
      </x:c>
      <x:c r="W11" s="50" t="n">
        <x:v>46168</x:v>
      </x:c>
      <x:c r="X11" s="50" t="n">
        <x:v>46168</x:v>
      </x:c>
      <x:c r="Y11" s="39" t="str">
        <x:v>Q1 2026 results / repurchase update</x:v>
      </x:c>
      <x:c r="Z11" s="39" t="str">
        <x:v>Company-disclosed cumulative spend</x:v>
      </x:c>
      <x:c r="AA11" s="39" t="str">
        <x:v>A</x:v>
      </x:c>
      <x:c r="AB11" s="39" t="str">
        <x:v>https://ir.lixiang.com/news-releases/news-release-details/li-auto-inc-announces-unaudited-first-quarter-2026-financial/</x:v>
      </x:c>
      <x:c r="AC11" s="39" t="str">
        <x:v>https://www.sec.gov/Archives/edgar/data/1791706/000110465926033834/tm269693d1_ex99-1.htm</x:v>
      </x:c>
      <x:c r="AD11" s="39" t="str">
        <x:v>https://ir.lixiang.com/news-releases/news-release-details/li-auto-inc-announces-unaudited-first-quarter-2026-financial/</x:v>
      </x:c>
      <x:c r="AE11" s="39" t="str">
        <x:v>Company disclosed ~16.4m Class A ordinary shares, including ~6.7m ADSs, repurchased for US$139.7m as of 26-May-2026.</x:v>
      </x:c>
      <x:c r="AF11" s="39"/>
    </x:row>
    <x:row r="12">
      <x:c r="A12" s="47" t="str">
        <x:v>KE Holdings Inc.</x:v>
      </x:c>
      <x:c r="B12" s="47" t="str">
        <x:v>BEKE</x:v>
      </x:c>
      <x:c r="C12" s="47" t="str">
        <x:v>NYSE</x:v>
      </x:c>
      <x:c r="D12" s="47" t="str">
        <x:v>Yes</x:v>
      </x:c>
      <x:c r="E12" s="47" t="str">
        <x:v>HKEX</x:v>
      </x:c>
      <x:c r="F12" s="47" t="str">
        <x:v>2423</x:v>
      </x:c>
      <x:c r="G12" s="47" t="n">
        <x:v>1</x:v>
      </x:c>
      <x:c r="H12" s="50" t="n">
        <x:v>45895</x:v>
      </x:c>
      <x:c r="I12" s="39" t="str">
        <x:v>Existing program upsized from US$3.0bn to US$5.0bn and extended through 31-Aug-2028.</x:v>
      </x:c>
      <x:c r="J12" s="60" t="n">
        <x:v>5000</x:v>
      </x:c>
      <x:c r="K12" s="47" t="str">
        <x:v>USD</x:v>
      </x:c>
      <x:c r="L12" s="62" t="n">
        <x:v>1</x:v>
      </x:c>
      <x:c r="M12" s="52" t="n">
        <x:f>IF(OR(J12="",L12=""),"",J12/L12)</x:f>
        <x:v>5000</x:v>
      </x:c>
      <x:c r="N12" s="60" t="n">
        <x:v>2741.7</x:v>
      </x:c>
      <x:c r="O12" s="47" t="str">
        <x:v>USD</x:v>
      </x:c>
      <x:c r="P12" s="62" t="n">
        <x:v>1</x:v>
      </x:c>
      <x:c r="Q12" s="66" t="n">
        <x:f>IF(OR(N12="",P12=""),"",N12/P12)</x:f>
        <x:v>2741.7</x:v>
      </x:c>
      <x:c r="R12" s="64" t="n">
        <x:v>171.2</x:v>
      </x:c>
      <x:c r="S12" s="47" t="str">
        <x:v>ADSs (mm)</x:v>
      </x:c>
      <x:c r="T12" s="52" t="n">
        <x:f>IF(OR(M12="",Q12=""),"",MAX(0,M12-Q12))</x:f>
        <x:v>2258.3</x:v>
      </x:c>
      <x:c r="U12" s="58" t="n">
        <x:f>IF(OR(M12="",Q12="",M12=0),"",Q12/M12)</x:f>
        <x:v>0.5483399999999999</x:v>
      </x:c>
      <x:c r="V12" s="50" t="n">
        <x:v>46996</x:v>
      </x:c>
      <x:c r="W12" s="50" t="n">
        <x:v>46112</x:v>
      </x:c>
      <x:c r="X12" s="50" t="n">
        <x:v>46162</x:v>
      </x:c>
      <x:c r="Y12" s="39" t="str">
        <x:v>Q1 2026 results</x:v>
      </x:c>
      <x:c r="Z12" s="39" t="str">
        <x:v>Company-disclosed cumulative program spend</x:v>
      </x:c>
      <x:c r="AA12" s="39" t="str">
        <x:v>A</x:v>
      </x:c>
      <x:c r="AB12" s="39" t="str">
        <x:v>https://investors.ke.com/news-releases/news-release-details/ke-holdings-inc-announces-first-quarter-2026-unaudited-financial</x:v>
      </x:c>
      <x:c r="AC12" s="39" t="str">
        <x:v>https://investors.ke.com/news-releases/news-release-details/ke-holdings-inc-announces-second-quarter-2025-unaudited</x:v>
      </x:c>
      <x:c r="AD12" s="39" t="str">
        <x:v>https://investors.ke.com/news-releases/news-release-details/ke-holdings-inc-announces-first-quarter-2026-unaudited-financial</x:v>
      </x:c>
      <x:c r="AE12" s="39" t="str">
        <x:v>Company disclosed approximately 171.2m ADSs repurchased for approximately US$2,741.7m cumulatively.</x:v>
      </x:c>
      <x:c r="AF12" s="39" t="str">
        <x:v>171.2m ADSs correspond to ~513.6m Class A ordinary shares at 1 ADS = 3 shares.</x:v>
      </x:c>
    </x:row>
    <x:row r="13">
      <x:c r="A13" s="47" t="str">
        <x:v>Tencent Music Entertainment Group</x:v>
      </x:c>
      <x:c r="B13" s="47" t="str">
        <x:v>TME</x:v>
      </x:c>
      <x:c r="C13" s="47" t="str">
        <x:v>NYSE</x:v>
      </x:c>
      <x:c r="D13" s="47" t="str">
        <x:v>Yes</x:v>
      </x:c>
      <x:c r="E13" s="47" t="str">
        <x:v>HKEX</x:v>
      </x:c>
      <x:c r="F13" s="47" t="str">
        <x:v>1698</x:v>
      </x:c>
      <x:c r="G13" s="47" t="n">
        <x:v>1</x:v>
      </x:c>
      <x:c r="H13" s="50" t="n">
        <x:v>45733</x:v>
      </x:c>
      <x:c r="I13" s="39" t="str">
        <x:v>US$1.0bn repurchase program over two years commencing 21-Mar-2025.</x:v>
      </x:c>
      <x:c r="J13" s="60" t="n">
        <x:v>1000</x:v>
      </x:c>
      <x:c r="K13" s="47" t="str">
        <x:v>USD</x:v>
      </x:c>
      <x:c r="L13" s="62" t="n">
        <x:v>1</x:v>
      </x:c>
      <x:c r="M13" s="52" t="n">
        <x:f>IF(OR(J13="",L13=""),"",J13/L13)</x:f>
        <x:v>1000</x:v>
      </x:c>
      <x:c r="N13" s="60" t="n">
        <x:v>400</x:v>
      </x:c>
      <x:c r="O13" s="47" t="str">
        <x:v>USD</x:v>
      </x:c>
      <x:c r="P13" s="62" t="n">
        <x:v>1</x:v>
      </x:c>
      <x:c r="Q13" s="66" t="n">
        <x:f>IF(OR(N13="",P13=""),"",N13/P13)</x:f>
        <x:v>400</x:v>
      </x:c>
      <x:c r="R13" s="64" t="n">
        <x:v>43.5</x:v>
      </x:c>
      <x:c r="S13" s="47" t="str">
        <x:v>ADSs (mm)</x:v>
      </x:c>
      <x:c r="T13" s="52" t="n">
        <x:f>IF(OR(M13="",Q13=""),"",MAX(0,M13-Q13))</x:f>
        <x:v>600</x:v>
      </x:c>
      <x:c r="U13" s="58" t="n">
        <x:f>IF(OR(M13="",Q13="",M13=0),"",Q13/M13)</x:f>
        <x:v>0.4</x:v>
      </x:c>
      <x:c r="V13" s="50" t="n">
        <x:v>46466</x:v>
      </x:c>
      <x:c r="W13" s="50" t="n">
        <x:v>46203</x:v>
      </x:c>
      <x:c r="X13" s="50" t="n">
        <x:v>46245</x:v>
      </x:c>
      <x:c r="Y13" s="39" t="str">
        <x:v>Q2 2026 results</x:v>
      </x:c>
      <x:c r="Z13" s="39" t="str">
        <x:v>Company-disclosed repurchases in Q2; no Q1 repurchases disclosed in Q1 result</x:v>
      </x:c>
      <x:c r="AA13" s="39" t="str">
        <x:v>A</x:v>
      </x:c>
      <x:c r="AB13" s="39" t="str">
        <x:v>https://ir.tencentmusic.com/2026-08-11-Tencent-Music-Entertainment-Group-Announces-Second-Quarter-2026-Unaudited-Financial-Results</x:v>
      </x:c>
      <x:c r="AC13" s="39" t="str">
        <x:v>https://ir.tencentmusic.com/</x:v>
      </x:c>
      <x:c r="AD13" s="39" t="str">
        <x:v>https://ir.tencentmusic.com/2026-08-11-Tencent-Music-Entertainment-Group-Announces-Second-Quarter-2026-Unaudited-Financial-Results</x:v>
      </x:c>
      <x:c r="AE13" s="39" t="str">
        <x:v>Q2-2026 disclosure: 43.5m ADSs repurchased for ~US$400m. Q1-2026 earnings release contained no share-repurchase disclosure; 2025 annual filing showed no current-program execution through year-end.</x:v>
      </x:c>
      <x:c r="AF13" s="39" t="str">
        <x:v>1 ADS = 2 Class A ordinary shares.</x:v>
      </x:c>
    </x:row>
    <x:row r="14">
      <x:c r="A14" s="47" t="str">
        <x:v>Yum China Holdings, Inc.</x:v>
      </x:c>
      <x:c r="B14" s="47" t="str">
        <x:v>YUMC</x:v>
      </x:c>
      <x:c r="C14" s="47" t="str">
        <x:v>NYSE</x:v>
      </x:c>
      <x:c r="D14" s="47" t="str">
        <x:v>Yes</x:v>
      </x:c>
      <x:c r="E14" s="47" t="str">
        <x:v>HKEX</x:v>
      </x:c>
      <x:c r="F14" s="47" t="str">
        <x:v>9987</x:v>
      </x:c>
      <x:c r="G14" s="47" t="n">
        <x:v>1</x:v>
      </x:c>
      <x:c r="H14" s="50" t="n">
        <x:v>46002</x:v>
      </x:c>
      <x:c r="I14" s="39" t="str">
        <x:v>Aggregate board repurchase authorization increased by US$1.0bn to US$5.4bn; no expiration date.</x:v>
      </x:c>
      <x:c r="J14" s="60" t="n">
        <x:v>5400</x:v>
      </x:c>
      <x:c r="K14" s="47" t="str">
        <x:v>USD</x:v>
      </x:c>
      <x:c r="L14" s="62" t="n">
        <x:v>1</x:v>
      </x:c>
      <x:c r="M14" s="52" t="n">
        <x:f>IF(OR(J14="",L14=""),"",J14/L14)</x:f>
        <x:v>5400</x:v>
      </x:c>
      <x:c r="N14" s="60" t="n">
        <x:v>4759</x:v>
      </x:c>
      <x:c r="O14" s="47" t="str">
        <x:v>USD</x:v>
      </x:c>
      <x:c r="P14" s="62" t="n">
        <x:v>1</x:v>
      </x:c>
      <x:c r="Q14" s="66" t="n">
        <x:f>IF(OR(N14="",P14=""),"",N14/P14)</x:f>
        <x:v>4759</x:v>
      </x:c>
      <x:c r="R14" s="64"/>
      <x:c r="S14" s="47"/>
      <x:c r="T14" s="52" t="n">
        <x:f>IF(OR(M14="",Q14=""),"",MAX(0,M14-Q14))</x:f>
        <x:v>641</x:v>
      </x:c>
      <x:c r="U14" s="58" t="n">
        <x:f>IF(OR(M14="",Q14="",M14=0),"",Q14/M14)</x:f>
        <x:v>0.8812962962962962</x:v>
      </x:c>
      <x:c r="V14" s="50" t="str">
        <x:v>No fixed expiry disclosed</x:v>
      </x:c>
      <x:c r="W14" s="50" t="n">
        <x:v>46203</x:v>
      </x:c>
      <x:c r="X14" s="50" t="n">
        <x:v>46244</x:v>
      </x:c>
      <x:c r="Y14" s="39" t="str">
        <x:v>Q2 2026 Form 10-Q / results</x:v>
      </x:c>
      <x:c r="Z14" s="39" t="str">
        <x:v>Calculated from company-disclosed remaining authorization</x:v>
      </x:c>
      <x:c r="AA14" s="39" t="str">
        <x:v>A</x:v>
      </x:c>
      <x:c r="AB14" s="39" t="str">
        <x:v>https://yumchinaholdingsinc.gcs-web.com/static-files/c309d2f1-c7e0-4750-89aa-2c4903fbd85b</x:v>
      </x:c>
      <x:c r="AC14" s="39" t="str">
        <x:v>https://www.sec.gov/Archives/edgar/data/1673358/000119312525316788/yumc-ex99_1.htm</x:v>
      </x:c>
      <x:c r="AD14" s="39" t="str">
        <x:v>https://yumchinaholdingsinc.gcs-web.com/static-files/c309d2f1-c7e0-4750-89aa-2c4903fbd85b</x:v>
      </x:c>
      <x:c r="AE14" s="39" t="str">
        <x:v>US$641m remaining at 30-Jun-2026 implies US$4.759bn cumulative execution.</x:v>
      </x:c>
      <x:c r="AF14" s="39" t="str">
        <x:v>H1-2026: 10.7m common shares for US$515m. Lifetime share count under the aggregate authorization was not restated.</x:v>
      </x:c>
    </x:row>
    <x:row r="15">
      <x:c r="A15" s="47" t="str">
        <x:v>ZTO Express (Cayman) Inc.</x:v>
      </x:c>
      <x:c r="B15" s="47" t="str">
        <x:v>ZTO</x:v>
      </x:c>
      <x:c r="C15" s="47" t="str">
        <x:v>NYSE</x:v>
      </x:c>
      <x:c r="D15" s="47" t="str">
        <x:v>Yes</x:v>
      </x:c>
      <x:c r="E15" s="47" t="str">
        <x:v>HKEX</x:v>
      </x:c>
      <x:c r="F15" s="47" t="str">
        <x:v>2057</x:v>
      </x:c>
      <x:c r="G15" s="47" t="n">
        <x:v>1</x:v>
      </x:c>
      <x:c r="H15" s="50" t="n">
        <x:v>46098</x:v>
      </x:c>
      <x:c r="I15" s="39" t="str">
        <x:v>New US$1.5bn program effective 20-Mar-2026 through 20-Mar-2028.</x:v>
      </x:c>
      <x:c r="J15" s="60" t="n">
        <x:v>1500</x:v>
      </x:c>
      <x:c r="K15" s="47" t="str">
        <x:v>USD</x:v>
      </x:c>
      <x:c r="L15" s="62" t="n">
        <x:v>1</x:v>
      </x:c>
      <x:c r="M15" s="52" t="n">
        <x:f>IF(OR(J15="",L15=""),"",J15/L15)</x:f>
        <x:v>1500</x:v>
      </x:c>
      <x:c r="N15" s="60" t="n">
        <x:v>138</x:v>
      </x:c>
      <x:c r="O15" s="47" t="str">
        <x:v>USD</x:v>
      </x:c>
      <x:c r="P15" s="62" t="n">
        <x:v>1</x:v>
      </x:c>
      <x:c r="Q15" s="66" t="n">
        <x:f>IF(OR(N15="",P15=""),"",N15/P15)</x:f>
        <x:v>138</x:v>
      </x:c>
      <x:c r="R15" s="64" t="n">
        <x:v>6.161216</x:v>
      </x:c>
      <x:c r="S15" s="47" t="str">
        <x:v>ADSs (mm)</x:v>
      </x:c>
      <x:c r="T15" s="52" t="n">
        <x:f>IF(OR(M15="",Q15=""),"",MAX(0,M15-Q15))</x:f>
        <x:v>1362</x:v>
      </x:c>
      <x:c r="U15" s="58" t="n">
        <x:f>IF(OR(M15="",Q15="",M15=0),"",Q15/M15)</x:f>
        <x:v>0.092</x:v>
      </x:c>
      <x:c r="V15" s="50" t="n">
        <x:v>46832</x:v>
      </x:c>
      <x:c r="W15" s="50" t="n">
        <x:v>46203</x:v>
      </x:c>
      <x:c r="X15" s="50" t="n">
        <x:v>46252</x:v>
      </x:c>
      <x:c r="Y15" s="39" t="str">
        <x:v>Q2 2026 results</x:v>
      </x:c>
      <x:c r="Z15" s="39" t="str">
        <x:v>Company-disclosed cumulative current-program execution</x:v>
      </x:c>
      <x:c r="AA15" s="39" t="str">
        <x:v>A</x:v>
      </x:c>
      <x:c r="AB15" s="39" t="str">
        <x:v>https://zto.investorroom.com/2026-08-18-ZTO-Reports-Second-Quarter-2026-Unaudited-Financial-Results</x:v>
      </x:c>
      <x:c r="AC15" s="39" t="str">
        <x:v>https://zto.investorroom.com/2026-03-17-ZTO-Reports-Fourth-Quarter-2025-and-Full-Year-2025-Unaudited-Financial-Results</x:v>
      </x:c>
      <x:c r="AD15" s="39" t="str">
        <x:v>https://zto.investorroom.com/2026-08-18-ZTO-Reports-Second-Quarter-2026-Unaudited-Financial-Results</x:v>
      </x:c>
      <x:c r="AE15" s="39" t="str">
        <x:v>Company disclosed 6,161,216 ADSs repurchased for US$138m under the new program by 30-Jun-2026.</x:v>
      </x:c>
      <x:c r="AF15" s="39"/>
    </x:row>
    <x:row r="16">
      <x:c r="A16" s="47" t="str">
        <x:v>H World Group Limited</x:v>
      </x:c>
      <x:c r="B16" s="47" t="str">
        <x:v>HTHT</x:v>
      </x:c>
      <x:c r="C16" s="47" t="str">
        <x:v>NASDAQ GS</x:v>
      </x:c>
      <x:c r="D16" s="47" t="str">
        <x:v>Yes</x:v>
      </x:c>
      <x:c r="E16" s="47" t="str">
        <x:v>HKEX</x:v>
      </x:c>
      <x:c r="F16" s="47" t="str">
        <x:v>1179</x:v>
      </x:c>
      <x:c r="G16" s="47" t="n">
        <x:v>1</x:v>
      </x:c>
      <x:c r="H16" s="50" t="n">
        <x:v>45496</x:v>
      </x:c>
      <x:c r="I16" s="39" t="str">
        <x:v>Five-year US$1.0bn ADS repurchase program, effective 21-Aug-2024.</x:v>
      </x:c>
      <x:c r="J16" s="60" t="n">
        <x:v>1000</x:v>
      </x:c>
      <x:c r="K16" s="47" t="str">
        <x:v>USD</x:v>
      </x:c>
      <x:c r="L16" s="62" t="n">
        <x:v>1</x:v>
      </x:c>
      <x:c r="M16" s="52" t="n">
        <x:f>IF(OR(J16="",L16=""),"",J16/L16)</x:f>
        <x:v>1000</x:v>
      </x:c>
      <x:c r="N16" s="60" t="n">
        <x:v>428</x:v>
      </x:c>
      <x:c r="O16" s="47" t="str">
        <x:v>USD</x:v>
      </x:c>
      <x:c r="P16" s="62" t="n">
        <x:v>1</x:v>
      </x:c>
      <x:c r="Q16" s="66" t="n">
        <x:f>IF(OR(N16="",P16=""),"",N16/P16)</x:f>
        <x:v>428</x:v>
      </x:c>
      <x:c r="R16" s="64"/>
      <x:c r="S16" s="47"/>
      <x:c r="T16" s="52" t="n">
        <x:f>IF(OR(M16="",Q16=""),"",MAX(0,M16-Q16))</x:f>
        <x:v>572</x:v>
      </x:c>
      <x:c r="U16" s="58" t="n">
        <x:f>IF(OR(M16="",Q16="",M16=0),"",Q16/M16)</x:f>
        <x:v>0.428</x:v>
      </x:c>
      <x:c r="V16" s="50" t="n">
        <x:v>47350</x:v>
      </x:c>
      <x:c r="W16" s="50" t="n">
        <x:v>46203</x:v>
      </x:c>
      <x:c r="X16" s="50" t="n">
        <x:v>46251</x:v>
      </x:c>
      <x:c r="Y16" s="39" t="str">
        <x:v>Q2 / H1 2026 results + 2025 Form 20-F</x:v>
      </x:c>
      <x:c r="Z16" s="39" t="str">
        <x:v>Calculated from disclosed remaining capacity at 31-Dec-2025 plus H1-2026 repurchase cash payments</x:v>
      </x:c>
      <x:c r="AA16" s="39" t="str">
        <x:v>A</x:v>
      </x:c>
      <x:c r="AB16" s="39" t="str">
        <x:v>https://ir.hworld.com/zh-hans/news-releases/news-release-details/huazhujituanyouxiangongsichengbao2026niandierjiducaiwuyeji</x:v>
      </x:c>
      <x:c r="AC16" s="39" t="str">
        <x:v>https://www.sec.gov/Archives/edgar/data/1483994/000110465924091033/tm2421903d2_ex99-1.htm</x:v>
      </x:c>
      <x:c r="AD16" s="39" t="str">
        <x:v>https://www.sec.gov/Archives/edgar/data/1483994/000110465926048058/htht-20251231x20f.htm</x:v>
      </x:c>
      <x:c r="AE16" s="39" t="str">
        <x:v>2025 annual report showed US$846m remaining at 31-Dec-2025, i.e. US$154m cumulative execution under the current program. H1-2026 cash flow reported US$274m share-repurchase payments. Sum = US$428m.</x:v>
      </x:c>
      <x:c r="AF16" s="39" t="str">
        <x:v>Program-to-date shares through 2025 were 4.704909m ADSs; H1-2026 share count was not restated, so cumulative share count is left blank. New Aug-2026 US$2.5bn shareholder-return plan is not treated as a second buyback authorization.</x:v>
      </x:c>
    </x:row>
    <x:row r="17">
      <x:c r="A17" s="47" t="str">
        <x:v>Bilibili Inc.</x:v>
      </x:c>
      <x:c r="B17" s="47" t="str">
        <x:v>BILI</x:v>
      </x:c>
      <x:c r="C17" s="47" t="str">
        <x:v>NASDAQ GS</x:v>
      </x:c>
      <x:c r="D17" s="47" t="str">
        <x:v>Yes</x:v>
      </x:c>
      <x:c r="E17" s="47" t="str">
        <x:v>HKEX</x:v>
      </x:c>
      <x:c r="F17" s="47" t="str">
        <x:v>9626</x:v>
      </x:c>
      <x:c r="G17" s="47" t="n">
        <x:v>1</x:v>
      </x:c>
      <x:c r="H17" s="50" t="n">
        <x:v>46197</x:v>
      </x:c>
      <x:c r="I17" s="39" t="str">
        <x:v>US$300m share repurchase program for listed securities over 24 months.</x:v>
      </x:c>
      <x:c r="J17" s="60" t="n">
        <x:v>300</x:v>
      </x:c>
      <x:c r="K17" s="47" t="str">
        <x:v>USD</x:v>
      </x:c>
      <x:c r="L17" s="62" t="n">
        <x:v>1</x:v>
      </x:c>
      <x:c r="M17" s="52" t="n">
        <x:f>IF(OR(J17="",L17=""),"",J17/L17)</x:f>
        <x:v>300</x:v>
      </x:c>
      <x:c r="N17" s="60" t="n">
        <x:v>31.3</x:v>
      </x:c>
      <x:c r="O17" s="47" t="str">
        <x:v>USD</x:v>
      </x:c>
      <x:c r="P17" s="62" t="n">
        <x:v>1</x:v>
      </x:c>
      <x:c r="Q17" s="66" t="n">
        <x:f>IF(OR(N17="",P17=""),"",N17/P17)</x:f>
        <x:v>31.3</x:v>
      </x:c>
      <x:c r="R17" s="64" t="n">
        <x:v>1.9</x:v>
      </x:c>
      <x:c r="S17" s="47" t="str">
        <x:v>Listed securities (mm)</x:v>
      </x:c>
      <x:c r="T17" s="52" t="n">
        <x:f>IF(OR(M17="",Q17=""),"",MAX(0,M17-Q17))</x:f>
        <x:v>268.7</x:v>
      </x:c>
      <x:c r="U17" s="58" t="n">
        <x:f>IF(OR(M17="",Q17="",M17=0),"",Q17/M17)</x:f>
        <x:v>0.10433333333333333</x:v>
      </x:c>
      <x:c r="V17" s="50" t="n">
        <x:v>46927</x:v>
      </x:c>
      <x:c r="W17" s="50" t="n">
        <x:v>46203</x:v>
      </x:c>
      <x:c r="X17" s="50" t="n">
        <x:v>46203</x:v>
      </x:c>
      <x:c r="Y17" s="39" t="str">
        <x:v>Repurchase update / Form 6-K</x:v>
      </x:c>
      <x:c r="Z17" s="39" t="str">
        <x:v>Company-disclosed execution</x:v>
      </x:c>
      <x:c r="AA17" s="39" t="str">
        <x:v>A</x:v>
      </x:c>
      <x:c r="AB17" s="39" t="str">
        <x:v>https://www.sec.gov/Archives/edgar/data/1723690/000119312526290468/d114903dex992.htm</x:v>
      </x:c>
      <x:c r="AC17" s="39" t="str">
        <x:v>https://www.sec.gov/Archives/edgar/data/1723690/000119312526280222/d26402dex991.htm</x:v>
      </x:c>
      <x:c r="AD17" s="39" t="str">
        <x:v>https://www.sec.gov/Archives/edgar/data/1723690/000119312526290468/d114903dex992.htm</x:v>
      </x:c>
      <x:c r="AE17" s="39" t="str">
        <x:v>Company disclosed 1.9m listed securities repurchased for US$31.3m by 30-Jun-2026.</x:v>
      </x:c>
      <x:c r="AF17" s="39"/>
    </x:row>
    <x:row r="18">
      <x:c r="A18" s="47" t="str">
        <x:v>Vipshop Holdings Limited</x:v>
      </x:c>
      <x:c r="B18" s="47" t="str">
        <x:v>VIPS</x:v>
      </x:c>
      <x:c r="C18" s="47" t="str">
        <x:v>NYSE</x:v>
      </x:c>
      <x:c r="D18" s="47" t="str">
        <x:v>No</x:v>
      </x:c>
      <x:c r="E18" s="47"/>
      <x:c r="F18" s="47"/>
      <x:c r="G18" s="47" t="n">
        <x:v>1</x:v>
      </x:c>
      <x:c r="H18" s="50" t="n">
        <x:v>45524</x:v>
      </x:c>
      <x:c r="I18" s="39" t="str">
        <x:v>US$1.0bn program; operative after prior authorization was fully utilized; effective through Feb-2027.</x:v>
      </x:c>
      <x:c r="J18" s="60" t="n">
        <x:v>1000</x:v>
      </x:c>
      <x:c r="K18" s="47" t="str">
        <x:v>USD</x:v>
      </x:c>
      <x:c r="L18" s="62" t="n">
        <x:v>1</x:v>
      </x:c>
      <x:c r="M18" s="52" t="n">
        <x:f>IF(OR(J18="",L18=""),"",J18/L18)</x:f>
        <x:v>1000</x:v>
      </x:c>
      <x:c r="N18" s="60" t="n">
        <x:v>684</x:v>
      </x:c>
      <x:c r="O18" s="47" t="str">
        <x:v>USD</x:v>
      </x:c>
      <x:c r="P18" s="62" t="n">
        <x:v>1</x:v>
      </x:c>
      <x:c r="Q18" s="66" t="n">
        <x:f>IF(OR(N18="",P18=""),"",N18/P18)</x:f>
        <x:v>684</x:v>
      </x:c>
      <x:c r="R18" s="64"/>
      <x:c r="S18" s="47"/>
      <x:c r="T18" s="52" t="n">
        <x:f>IF(OR(M18="",Q18=""),"",MAX(0,M18-Q18))</x:f>
        <x:v>316</x:v>
      </x:c>
      <x:c r="U18" s="58" t="n">
        <x:f>IF(OR(M18="",Q18="",M18=0),"",Q18/M18)</x:f>
        <x:v>0.684</x:v>
      </x:c>
      <x:c r="V18" s="50" t="n">
        <x:v>46446</x:v>
      </x:c>
      <x:c r="W18" s="50" t="n">
        <x:v>46022</x:v>
      </x:c>
      <x:c r="X18" s="50" t="n">
        <x:v>46079</x:v>
      </x:c>
      <x:c r="Y18" s="39" t="str">
        <x:v>Q4 / FY2025 results; later Q1-2026 reviewed</x:v>
      </x:c>
      <x:c r="Z18" s="39" t="str">
        <x:v>Calculated from company-disclosed remaining capacity</x:v>
      </x:c>
      <x:c r="AA18" s="39" t="str">
        <x:v>B</x:v>
      </x:c>
      <x:c r="AB18" s="39" t="str">
        <x:v>https://ir.vip.com/news-releases/news-release-details/vipshop-reports-unaudited-fourth-quarter-and-full-year-2025</x:v>
      </x:c>
      <x:c r="AC18" s="39" t="str">
        <x:v>https://ir.vip.com/news-releases/news-release-details/vipshop-reports-unaudited-second-quarter-2024-financial-results</x:v>
      </x:c>
      <x:c r="AD18" s="39" t="str">
        <x:v>https://ir.vip.com/news-releases/news-release-details/vipshop-reports-unaudited-fourth-quarter-and-full-year-2025</x:v>
      </x:c>
      <x:c r="AE18" s="39" t="str">
        <x:v>US$316m unutilized at 31-Dec-2025 implies US$684m cumulative execution.</x:v>
      </x:c>
      <x:c r="AF18" s="39" t="str">
        <x:v>Q2-2026 results were scheduled for 25-Aug-2026, after this workbook cutoff; latest quantified balance located is 31-Dec-2025.</x:v>
      </x:c>
    </x:row>
    <x:row r="19">
      <x:c r="A19" s="47" t="str">
        <x:v>TAL Education Group</x:v>
      </x:c>
      <x:c r="B19" s="47" t="str">
        <x:v>TAL</x:v>
      </x:c>
      <x:c r="C19" s="47" t="str">
        <x:v>NYSE</x:v>
      </x:c>
      <x:c r="D19" s="47" t="str">
        <x:v>No</x:v>
      </x:c>
      <x:c r="E19" s="47"/>
      <x:c r="F19" s="47"/>
      <x:c r="G19" s="47" t="n">
        <x:v>1</x:v>
      </x:c>
      <x:c r="H19" s="50" t="n">
        <x:v>45866</x:v>
      </x:c>
      <x:c r="I19" s="39" t="str">
        <x:v>US$600m program; on 30-Jul-2026 board extended the existing program by 12 months through 28-Jul-2027.</x:v>
      </x:c>
      <x:c r="J19" s="60" t="n">
        <x:v>600</x:v>
      </x:c>
      <x:c r="K19" s="47" t="str">
        <x:v>USD</x:v>
      </x:c>
      <x:c r="L19" s="62" t="n">
        <x:v>1</x:v>
      </x:c>
      <x:c r="M19" s="52" t="n">
        <x:f>IF(OR(J19="",L19=""),"",J19/L19)</x:f>
        <x:v>600</x:v>
      </x:c>
      <x:c r="N19" s="60" t="n">
        <x:v>206.3</x:v>
      </x:c>
      <x:c r="O19" s="47" t="str">
        <x:v>USD</x:v>
      </x:c>
      <x:c r="P19" s="62" t="n">
        <x:v>1</x:v>
      </x:c>
      <x:c r="Q19" s="66" t="n">
        <x:f>IF(OR(N19="",P19=""),"",N19/P19)</x:f>
        <x:v>206.3</x:v>
      </x:c>
      <x:c r="R19" s="64" t="n">
        <x:v>6.367325</x:v>
      </x:c>
      <x:c r="S19" s="47" t="str">
        <x:v>Common shares (mm)</x:v>
      </x:c>
      <x:c r="T19" s="52" t="n">
        <x:f>IF(OR(M19="",Q19=""),"",MAX(0,M19-Q19))</x:f>
        <x:v>393.7</x:v>
      </x:c>
      <x:c r="U19" s="58" t="n">
        <x:f>IF(OR(M19="",Q19="",M19=0),"",Q19/M19)</x:f>
        <x:v>0.3438333333333334</x:v>
      </x:c>
      <x:c r="V19" s="50" t="n">
        <x:v>46596</x:v>
      </x:c>
      <x:c r="W19" s="50" t="n">
        <x:v>46231</x:v>
      </x:c>
      <x:c r="X19" s="50" t="n">
        <x:v>46233</x:v>
      </x:c>
      <x:c r="Y19" s="39" t="str">
        <x:v>Q1 FY2027 results / extension update</x:v>
      </x:c>
      <x:c r="Z19" s="39" t="str">
        <x:v>Calculated from disclosed remaining capacity; cumulative shares summed from quarterly disclosures</x:v>
      </x:c>
      <x:c r="AA19" s="39" t="str">
        <x:v>A</x:v>
      </x:c>
      <x:c r="AB19" s="39" t="str">
        <x:v>https://ir.tal.com/2026-07-30-TAL-Education-Group-Announces-Unaudited-Financial-Results-for-the-First-Fiscal-Quarter-Ended-May-31%2C-2026</x:v>
      </x:c>
      <x:c r="AC19" s="39" t="str">
        <x:v>https://www.sec.gov/Archives/edgar/data/1499620/000110465925072676/tm2522195d1_ex99-1.htm</x:v>
      </x:c>
      <x:c r="AD19" s="39" t="str">
        <x:v>https://ir.tal.com/2026-07-30-TAL-Education-Group-Announces-Unaudited-Financial-Results-for-the-First-Fiscal-Quarter-Ended-May-31%2C-2026</x:v>
      </x:c>
      <x:c r="AE19" s="39" t="str">
        <x:v>Extended program permits up to ~US$393.7m further repurchases, implying US$206.3m used. Cumulative shares = 4,195,065 + 844,856 + 101,371 + 1,226,033.</x:v>
      </x:c>
      <x:c r="AF19" s="39" t="str">
        <x:v>The US$393.7m is remaining capacity under the original US$600m authorization, not a new US$393.7m program.</x:v>
      </x:c>
    </x:row>
    <x:row r="20">
      <x:c r="A20" s="47" t="str">
        <x:v>New Oriental Education &amp; Technology Group Inc.</x:v>
      </x:c>
      <x:c r="B20" s="47" t="str">
        <x:v>EDU</x:v>
      </x:c>
      <x:c r="C20" s="47" t="str">
        <x:v>NYSE</x:v>
      </x:c>
      <x:c r="D20" s="47" t="str">
        <x:v>Yes</x:v>
      </x:c>
      <x:c r="E20" s="47" t="str">
        <x:v>HKEX</x:v>
      </x:c>
      <x:c r="F20" s="47" t="str">
        <x:v>9901</x:v>
      </x:c>
      <x:c r="G20" s="47" t="n">
        <x:v>1</x:v>
      </x:c>
      <x:c r="H20" s="50" t="n">
        <x:v>45958</x:v>
      </x:c>
      <x:c r="I20" s="39" t="str">
        <x:v>FY2026 share repurchase program up to US$300m over the subsequent 12 months.</x:v>
      </x:c>
      <x:c r="J20" s="60" t="n">
        <x:v>300</x:v>
      </x:c>
      <x:c r="K20" s="47" t="str">
        <x:v>USD</x:v>
      </x:c>
      <x:c r="L20" s="62" t="n">
        <x:v>1</x:v>
      </x:c>
      <x:c r="M20" s="52" t="n">
        <x:f>IF(OR(J20="",L20=""),"",J20/L20)</x:f>
        <x:v>300</x:v>
      </x:c>
      <x:c r="N20" s="60" t="n">
        <x:v>274</x:v>
      </x:c>
      <x:c r="O20" s="47" t="str">
        <x:v>USD</x:v>
      </x:c>
      <x:c r="P20" s="62" t="n">
        <x:v>1</x:v>
      </x:c>
      <x:c r="Q20" s="66" t="n">
        <x:f>IF(OR(N20="",P20=""),"",N20/P20)</x:f>
        <x:v>274</x:v>
      </x:c>
      <x:c r="R20" s="64" t="n">
        <x:v>51.5</x:v>
      </x:c>
      <x:c r="S20" s="47" t="str">
        <x:v>Common shares incl. ADS-represented (mm)</x:v>
      </x:c>
      <x:c r="T20" s="52" t="n">
        <x:f>IF(OR(M20="",Q20=""),"",MAX(0,M20-Q20))</x:f>
        <x:v>26</x:v>
      </x:c>
      <x:c r="U20" s="58" t="n">
        <x:f>IF(OR(M20="",Q20="",M20=0),"",Q20/M20)</x:f>
        <x:v>0.9133333333333333</x:v>
      </x:c>
      <x:c r="V20" s="50" t="n">
        <x:v>46322</x:v>
      </x:c>
      <x:c r="W20" s="50" t="n">
        <x:v>46231</x:v>
      </x:c>
      <x:c r="X20" s="50" t="n">
        <x:v>46232</x:v>
      </x:c>
      <x:c r="Y20" s="39" t="str">
        <x:v>FY2026 results / Form 6-K</x:v>
      </x:c>
      <x:c r="Z20" s="39" t="str">
        <x:v>Company-disclosed cumulative execution</x:v>
      </x:c>
      <x:c r="AA20" s="39" t="str">
        <x:v>A</x:v>
      </x:c>
      <x:c r="AB20" s="39" t="str">
        <x:v>https://www.sec.gov/Archives/edgar/data/1372920/000119312526322173/d148153dex991.htm</x:v>
      </x:c>
      <x:c r="AC20" s="39" t="str">
        <x:v>https://www.sec.gov/Archives/edgar/data/1372920/000119312526168990/d90814dex991.htm</x:v>
      </x:c>
      <x:c r="AD20" s="39" t="str">
        <x:v>https://www.sec.gov/Archives/edgar/data/1372920/000119312526322173/d148153dex991.htm</x:v>
      </x:c>
      <x:c r="AE20" s="39" t="str">
        <x:v>As of 28-Jul-2026, company disclosed ~51.5m common shares repurchased for ~US$274m under the FY2026 program.</x:v>
      </x:c>
      <x:c r="AF20" s="39"/>
    </x:row>
    <x:row r="21">
      <x:c r="A21" s="47" t="str">
        <x:v>New Oriental Education &amp; Technology Group Inc.</x:v>
      </x:c>
      <x:c r="B21" s="47" t="str">
        <x:v>EDU</x:v>
      </x:c>
      <x:c r="C21" s="47" t="str">
        <x:v>NYSE</x:v>
      </x:c>
      <x:c r="D21" s="47" t="str">
        <x:v>Yes</x:v>
      </x:c>
      <x:c r="E21" s="47" t="str">
        <x:v>HKEX</x:v>
      </x:c>
      <x:c r="F21" s="47" t="str">
        <x:v>9901</x:v>
      </x:c>
      <x:c r="G21" s="47" t="n">
        <x:v>2</x:v>
      </x:c>
      <x:c r="H21" s="50" t="n">
        <x:v>46232</x:v>
      </x:c>
      <x:c r="I21" s="39" t="str">
        <x:v>FY2027 share repurchase program up to US$200m over the subsequent 12 months.</x:v>
      </x:c>
      <x:c r="J21" s="60" t="n">
        <x:v>200</x:v>
      </x:c>
      <x:c r="K21" s="47" t="str">
        <x:v>USD</x:v>
      </x:c>
      <x:c r="L21" s="62" t="n">
        <x:v>1</x:v>
      </x:c>
      <x:c r="M21" s="52" t="n">
        <x:f>IF(OR(J21="",L21=""),"",J21/L21)</x:f>
        <x:v>200</x:v>
      </x:c>
      <x:c r="N21" s="60"/>
      <x:c r="O21" s="47" t="str">
        <x:v>USD</x:v>
      </x:c>
      <x:c r="P21" s="62" t="n">
        <x:v>1</x:v>
      </x:c>
      <x:c r="Q21" s="66" t="str">
        <x:f>IF(OR(N21="",P21=""),"",N21/P21)</x:f>
      </x:c>
      <x:c r="R21" s="64"/>
      <x:c r="S21" s="47"/>
      <x:c r="T21" s="52" t="str">
        <x:f>IF(OR(M21="",Q21=""),"",MAX(0,M21-Q21))</x:f>
      </x:c>
      <x:c r="U21" s="58" t="str">
        <x:f>IF(OR(M21="",Q21="",M21=0),"",Q21/M21)</x:f>
      </x:c>
      <x:c r="V21" s="50" t="n">
        <x:v>46596</x:v>
      </x:c>
      <x:c r="W21" s="50" t="n">
        <x:v>46232</x:v>
      </x:c>
      <x:c r="X21" s="50" t="n">
        <x:v>46232</x:v>
      </x:c>
      <x:c r="Y21" s="39" t="str">
        <x:v>FY2026 results / new-program announcement</x:v>
      </x:c>
      <x:c r="Z21" s="39" t="str">
        <x:v>No post-announcement execution disclosure available by cutoff</x:v>
      </x:c>
      <x:c r="AA21" s="39" t="str">
        <x:v>C</x:v>
      </x:c>
      <x:c r="AB21" s="39" t="str">
        <x:v>https://www.sec.gov/Archives/edgar/data/1372920/000119312526322173/d148153dex991.htm</x:v>
      </x:c>
      <x:c r="AC21" s="39" t="str">
        <x:v>https://www.sec.gov/Archives/edgar/data/1372920/000119312526322173/d148153dex991.htm</x:v>
      </x:c>
      <x:c r="AD21" s="39" t="str">
        <x:v>https://www.sec.gov/Archives/edgar/data/1372920/000119312526322173/d148153dex991.htm</x:v>
      </x:c>
      <x:c r="AE21" s="39" t="str">
        <x:v>Newly authorized on 29-Jul-2026. Execution is intentionally blank rather than assumed to be zero because no later quarterly/annual execution report existed by 21-Aug-2026.</x:v>
      </x:c>
      <x:c r="AF21" s="39"/>
    </x:row>
    <x:row r="22">
      <x:c r="A22" s="47" t="str">
        <x:v>KANZHUN LIMITED</x:v>
      </x:c>
      <x:c r="B22" s="47" t="str">
        <x:v>BZ</x:v>
      </x:c>
      <x:c r="C22" s="47" t="str">
        <x:v>NASDAQ GS</x:v>
      </x:c>
      <x:c r="D22" s="47" t="str">
        <x:v>Yes</x:v>
      </x:c>
      <x:c r="E22" s="47" t="str">
        <x:v>HKEX</x:v>
      </x:c>
      <x:c r="F22" s="47" t="str">
        <x:v>2076</x:v>
      </x:c>
      <x:c r="G22" s="47" t="n">
        <x:v>1</x:v>
      </x:c>
      <x:c r="H22" s="50" t="n">
        <x:v>46099</x:v>
      </x:c>
      <x:c r="I22" s="39" t="str">
        <x:v>Existing program upsized to US$400m and extended through 28-Aug-2027.</x:v>
      </x:c>
      <x:c r="J22" s="60" t="n">
        <x:v>400</x:v>
      </x:c>
      <x:c r="K22" s="47" t="str">
        <x:v>USD</x:v>
      </x:c>
      <x:c r="L22" s="62" t="n">
        <x:v>1</x:v>
      </x:c>
      <x:c r="M22" s="52" t="n">
        <x:f>IF(OR(J22="",L22=""),"",J22/L22)</x:f>
        <x:v>400</x:v>
      </x:c>
      <x:c r="N22" s="60" t="n">
        <x:v>2060</x:v>
      </x:c>
      <x:c r="O22" s="47" t="str">
        <x:v>RMB</x:v>
      </x:c>
      <x:c r="P22" s="62" t="n">
        <x:v>6.7851</x:v>
      </x:c>
      <x:c r="Q22" s="66" t="n">
        <x:f>IF(OR(N22="",P22=""),"",N22/P22)</x:f>
        <x:v>303.6064317401365</x:v>
      </x:c>
      <x:c r="R22" s="64"/>
      <x:c r="S22" s="47"/>
      <x:c r="T22" s="52" t="n">
        <x:f>IF(OR(M22="",Q22=""),"",MAX(0,M22-Q22))</x:f>
        <x:v>96.39356825986351</x:v>
      </x:c>
      <x:c r="U22" s="58" t="n">
        <x:f>IF(OR(M22="",Q22="",M22=0),"",Q22/M22)</x:f>
        <x:v>0.7590160793503412</x:v>
      </x:c>
      <x:c r="V22" s="50" t="n">
        <x:v>46627</x:v>
      </x:c>
      <x:c r="W22" s="50" t="n">
        <x:v>46203</x:v>
      </x:c>
      <x:c r="X22" s="50" t="n">
        <x:v>46204</x:v>
      </x:c>
      <x:c r="Y22" s="39" t="str">
        <x:v>H1-2026 buyback execution update</x:v>
      </x:c>
      <x:c r="Z22" s="39" t="str">
        <x:v>Lower bound; company disclosed 'over RMB2.06bn' repurchased in H1-2026</x:v>
      </x:c>
      <x:c r="AA22" s="39" t="str">
        <x:v>B</x:v>
      </x:c>
      <x:c r="AB22" s="39" t="str">
        <x:v>https://www.globenewswire.com/news-release/2026/07/01/3320480/0/en/boss-zhipin-s-ongoing-share-repurchases-reach-over-rmb2-06-billion-in-1h2026.html</x:v>
      </x:c>
      <x:c r="AC22" s="39" t="str">
        <x:v>https://www.globenewswire.com/news-release/2026/03/19/3258899/0/en/kanzhun-limited-announces-shareholder-return-target-through-dividend-distribution-and-extension-and-upsizing-of-share-repurchase-program.html</x:v>
      </x:c>
      <x:c r="AD22" s="39" t="str">
        <x:v>https://www.globenewswire.com/news-release/2026/07/01/3320480/0/en/boss-zhipin-s-ongoing-share-repurchases-reach-over-rmb2-06-billion-in-1h2026.html</x:v>
      </x:c>
      <x:c r="AE22" s="39" t="str">
        <x:v>Lower-bound USD conversion of &gt;RMB2.06bn H1-2026 purchases using RMB6.7851/US$ at 30-Jun-2026. Earlier program-term purchases are not added, so displayed completion is conservative.</x:v>
      </x:c>
      <x:c r="AF22" s="39" t="str">
        <x:v>Remaining capacity and completion are upper-/lower-bound respectively, not exact.</x:v>
      </x:c>
    </x:row>
    <x:row r="23">
      <x:c r="A23" s="47" t="str">
        <x:v>Qfin Holdings, Inc.</x:v>
      </x:c>
      <x:c r="B23" s="47" t="str">
        <x:v>QFIN</x:v>
      </x:c>
      <x:c r="C23" s="47" t="str">
        <x:v>NASDAQ GS</x:v>
      </x:c>
      <x:c r="D23" s="47" t="str">
        <x:v>Yes</x:v>
      </x:c>
      <x:c r="E23" s="47" t="str">
        <x:v>HKEX</x:v>
      </x:c>
      <x:c r="F23" s="47" t="str">
        <x:v>3660</x:v>
      </x:c>
      <x:c r="G23" s="47" t="n">
        <x:v>1</x:v>
      </x:c>
      <x:c r="H23" s="50" t="n">
        <x:v>45741</x:v>
      </x:c>
      <x:c r="I23" s="39" t="str">
        <x:v>March-2025 Share Repurchase Plan funded with net proceeds from 2030 Notes; no definitive term.</x:v>
      </x:c>
      <x:c r="J23" s="60" t="n">
        <x:v>677</x:v>
      </x:c>
      <x:c r="K23" s="47" t="str">
        <x:v>USD</x:v>
      </x:c>
      <x:c r="L23" s="62" t="n">
        <x:v>1</x:v>
      </x:c>
      <x:c r="M23" s="52" t="n">
        <x:f>IF(OR(J23="",L23=""),"",J23/L23)</x:f>
        <x:v>677</x:v>
      </x:c>
      <x:c r="N23" s="60" t="n">
        <x:v>227</x:v>
      </x:c>
      <x:c r="O23" s="47" t="str">
        <x:v>USD</x:v>
      </x:c>
      <x:c r="P23" s="62" t="n">
        <x:v>1</x:v>
      </x:c>
      <x:c r="Q23" s="66" t="n">
        <x:f>IF(OR(N23="",P23=""),"",N23/P23)</x:f>
        <x:v>227</x:v>
      </x:c>
      <x:c r="R23" s="64" t="n">
        <x:v>5.1</x:v>
      </x:c>
      <x:c r="S23" s="47" t="str">
        <x:v>ADSs (mm)</x:v>
      </x:c>
      <x:c r="T23" s="52" t="n">
        <x:f>IF(OR(M23="",Q23=""),"",MAX(0,M23-Q23))</x:f>
        <x:v>450</x:v>
      </x:c>
      <x:c r="U23" s="58" t="n">
        <x:f>IF(OR(M23="",Q23="",M23=0),"",Q23/M23)</x:f>
        <x:v>0.3353028064992615</x:v>
      </x:c>
      <x:c r="V23" s="50" t="str">
        <x:v>No definitive term disclosed</x:v>
      </x:c>
      <x:c r="W23" s="50" t="n">
        <x:v>46022</x:v>
      </x:c>
      <x:c r="X23" s="50" t="n">
        <x:v>46141</x:v>
      </x:c>
      <x:c r="Y23" s="39" t="str">
        <x:v>2025 Form 20-F</x:v>
      </x:c>
      <x:c r="Z23" s="39" t="str">
        <x:v>Implied economic capacity, not a formally stated fixed cap</x:v>
      </x:c>
      <x:c r="AA23" s="39" t="str">
        <x:v>B</x:v>
      </x:c>
      <x:c r="AB23" s="39" t="str">
        <x:v>https://www.sec.gov/Archives/edgar/data/1741530/000110465926049501/qfin-20251231x20f.htm</x:v>
      </x:c>
      <x:c r="AC23" s="39" t="str">
        <x:v>https://www.sec.gov/Archives/edgar/data/1741530/000110465926049501/qfin-20251231x20f.htm</x:v>
      </x:c>
      <x:c r="AD23" s="39" t="str">
        <x:v>https://www.sec.gov/Archives/edgar/data/1741530/000110465926049501/qfin-20251231x20f.htm</x:v>
      </x:c>
      <x:c r="AE23" s="39" t="str">
        <x:v>Company disclosed ~US$227m initial repurchase and ~US$450m buyback capacity remaining. US$677m is therefore an implied economic capacity, not a board-stated formal limit.</x:v>
      </x:c>
      <x:c r="AF23" s="39" t="str">
        <x:v>Separate US$450m 2025 Share Repurchase Plan was substantially fully utilized and expired; excluded from active programs.</x:v>
      </x:c>
    </x:row>
    <x:row r="24">
      <x:c r="A24" s="47" t="str">
        <x:v>MINISO Group Holding Limited</x:v>
      </x:c>
      <x:c r="B24" s="47" t="str">
        <x:v>MNSO</x:v>
      </x:c>
      <x:c r="C24" s="47" t="str">
        <x:v>NYSE</x:v>
      </x:c>
      <x:c r="D24" s="47" t="str">
        <x:v>Yes</x:v>
      </x:c>
      <x:c r="E24" s="47" t="str">
        <x:v>HKEX</x:v>
      </x:c>
      <x:c r="F24" s="47" t="str">
        <x:v>9896</x:v>
      </x:c>
      <x:c r="G24" s="47" t="n">
        <x:v>1</x:v>
      </x:c>
      <x:c r="H24" s="50" t="n">
        <x:v>46202</x:v>
      </x:c>
      <x:c r="I24" s="39" t="str">
        <x:v>New HK$2.0bn share repurchase program over 12 months starting 30-Jun-2026.</x:v>
      </x:c>
      <x:c r="J24" s="60" t="n">
        <x:v>2000</x:v>
      </x:c>
      <x:c r="K24" s="47" t="str">
        <x:v>HKD</x:v>
      </x:c>
      <x:c r="L24" s="62" t="n">
        <x:v>7.8</x:v>
      </x:c>
      <x:c r="M24" s="52" t="n">
        <x:f>IF(OR(J24="",L24=""),"",J24/L24)</x:f>
        <x:v>256.4102564102564</x:v>
      </x:c>
      <x:c r="N24" s="60"/>
      <x:c r="O24" s="47" t="str">
        <x:v>HKD</x:v>
      </x:c>
      <x:c r="P24" s="62" t="n">
        <x:v>7.8</x:v>
      </x:c>
      <x:c r="Q24" s="66" t="str">
        <x:f>IF(OR(N24="",P24=""),"",N24/P24)</x:f>
      </x:c>
      <x:c r="R24" s="64"/>
      <x:c r="S24" s="47"/>
      <x:c r="T24" s="52" t="str">
        <x:f>IF(OR(M24="",Q24=""),"",MAX(0,M24-Q24))</x:f>
      </x:c>
      <x:c r="U24" s="58" t="str">
        <x:f>IF(OR(M24="",Q24="",M24=0),"",Q24/M24)</x:f>
      </x:c>
      <x:c r="V24" s="50" t="n">
        <x:v>46567</x:v>
      </x:c>
      <x:c r="W24" s="50" t="n">
        <x:v>46203</x:v>
      </x:c>
      <x:c r="X24" s="50" t="n">
        <x:v>46202</x:v>
      </x:c>
      <x:c r="Y24" s="39" t="str">
        <x:v>Program announcement / Form 6-K</x:v>
      </x:c>
      <x:c r="Z24" s="39" t="str">
        <x:v>No post-launch quarterly/annual execution disclosure available by cutoff</x:v>
      </x:c>
      <x:c r="AA24" s="39" t="str">
        <x:v>C</x:v>
      </x:c>
      <x:c r="AB24" s="39" t="str">
        <x:v>https://www.sec.gov/Archives/edgar/data/1815846/000110465926079051/tm2619282d1_ex99-1.htm</x:v>
      </x:c>
      <x:c r="AC24" s="39" t="str">
        <x:v>https://www.sec.gov/Archives/edgar/data/1815846/000110465926079051/tm2619282d1_ex99-1.htm</x:v>
      </x:c>
      <x:c r="AD24" s="39" t="str">
        <x:v>https://www.sec.gov/Archives/edgar/data/1815846/000110465926079051/tm2619282d1_ex99-1.htm</x:v>
      </x:c>
      <x:c r="AE24" s="39" t="str">
        <x:v>US$ authorization equivalent is formula-converted at HK$7.80/US$. Execution left blank rather than assumed zero.</x:v>
      </x:c>
      <x:c r="AF24" s="39" t="str">
        <x:v>Separate automatic execution arrangement up to HK$800m is treated as an execution mechanism under this program, not a second authorization.</x:v>
      </x:c>
    </x:row>
    <x:row r="25">
      <x:c r="A25" s="47" t="str">
        <x:v>WeRide Inc.</x:v>
      </x:c>
      <x:c r="B25" s="47" t="str">
        <x:v>WRD</x:v>
      </x:c>
      <x:c r="C25" s="47" t="str">
        <x:v>NASDAQ GM</x:v>
      </x:c>
      <x:c r="D25" s="47" t="str">
        <x:v>Yes</x:v>
      </x:c>
      <x:c r="E25" s="47" t="str">
        <x:v>HKEX</x:v>
      </x:c>
      <x:c r="F25" s="47" t="str">
        <x:v>0800</x:v>
      </x:c>
      <x:c r="G25" s="47" t="n">
        <x:v>1</x:v>
      </x:c>
      <x:c r="H25" s="50" t="n">
        <x:v>46104</x:v>
      </x:c>
      <x:c r="I25" s="39" t="str">
        <x:v>US$100m repurchase program for Class A ordinary shares including ADSs over 12 months.</x:v>
      </x:c>
      <x:c r="J25" s="60" t="n">
        <x:v>100</x:v>
      </x:c>
      <x:c r="K25" s="47" t="str">
        <x:v>USD</x:v>
      </x:c>
      <x:c r="L25" s="62" t="n">
        <x:v>1</x:v>
      </x:c>
      <x:c r="M25" s="52" t="n">
        <x:f>IF(OR(J25="",L25=""),"",J25/L25)</x:f>
        <x:v>100</x:v>
      </x:c>
      <x:c r="N25" s="60"/>
      <x:c r="O25" s="47" t="str">
        <x:v>Mixed HKD + USD</x:v>
      </x:c>
      <x:c r="P25" s="62"/>
      <x:c r="Q25" s="60" t="n">
        <x:v>99.633</x:v>
      </x:c>
      <x:c r="R25" s="64" t="n">
        <x:v>40.4541</x:v>
      </x:c>
      <x:c r="S25" s="47" t="str">
        <x:v>Class A equivalent (mm)</x:v>
      </x:c>
      <x:c r="T25" s="52" t="n">
        <x:f>IF(OR(M25="",Q25=""),"",MAX(0,M25-Q25))</x:f>
        <x:v>0.36700000000000443</x:v>
      </x:c>
      <x:c r="U25" s="58" t="n">
        <x:f>IF(OR(M25="",Q25="",M25=0),"",Q25/M25)</x:f>
        <x:v>0.9963299999999999</x:v>
      </x:c>
      <x:c r="V25" s="50" t="n">
        <x:v>46468</x:v>
      </x:c>
      <x:c r="W25" s="50" t="n">
        <x:v>46203</x:v>
      </x:c>
      <x:c r="X25" s="50" t="n">
        <x:v>46246</x:v>
      </x:c>
      <x:c r="Y25" s="39" t="str">
        <x:v>H1 2026 interim report / Form 6-K</x:v>
      </x:c>
      <x:c r="Z25" s="39" t="str">
        <x:v>Calculated from issuer-disclosed HKEX and Nasdaq purchase legs</x:v>
      </x:c>
      <x:c r="AA25" s="39" t="str">
        <x:v>B</x:v>
      </x:c>
      <x:c r="AB25" s="39" t="str">
        <x:v>https://ir.weride.ai/static-files/605ededd-c1a7-4a58-822f-8e5b3035cf1f</x:v>
      </x:c>
      <x:c r="AC25" s="39" t="str">
        <x:v>https://ir.weride.ai/static-files/47133420-9a1c-4189-80e3-e44a70aeec97</x:v>
      </x:c>
      <x:c r="AD25" s="39" t="str">
        <x:v>https://ir.weride.ai/static-files/605ededd-c1a7-4a58-822f-8e5b3035cf1f</x:v>
      </x:c>
      <x:c r="AE25" s="39" t="str">
        <x:v>HK$542.98m HKEX purchases / 7.80 + US$30.02m Nasdaq purchases = ~US$99.633m. Share count converts 3,501,001 ADSs at 1 ADS=3 Class A, then adds 29,951,097 HKEX Class A shares.</x:v>
      </x:c>
      <x:c r="AF25" s="39" t="str">
        <x:v>Remaining capacity is ~US$0.37m on stated FX assumption. No later quarterly/annual disclosure before cutoff showed formal completion.</x:v>
      </x:c>
    </x:row>
    <x:row r="26">
      <x:c r="A26" s="47" t="str">
        <x:v>Atour Lifestyle Holdings Limited</x:v>
      </x:c>
      <x:c r="B26" s="47" t="str">
        <x:v>ATAT</x:v>
      </x:c>
      <x:c r="C26" s="47" t="str">
        <x:v>NASDAQ GS</x:v>
      </x:c>
      <x:c r="D26" s="47" t="str">
        <x:v>No</x:v>
      </x:c>
      <x:c r="E26" s="47"/>
      <x:c r="F26" s="47"/>
      <x:c r="G26" s="47" t="n">
        <x:v>1</x:v>
      </x:c>
      <x:c r="H26" s="50" t="n">
        <x:v>45799</x:v>
      </x:c>
      <x:c r="I26" s="39" t="str">
        <x:v>Three-year repurchase program up to US$400m of ordinary shares and/or ADSs.</x:v>
      </x:c>
      <x:c r="J26" s="60" t="n">
        <x:v>400</x:v>
      </x:c>
      <x:c r="K26" s="47" t="str">
        <x:v>USD</x:v>
      </x:c>
      <x:c r="L26" s="62" t="n">
        <x:v>1</x:v>
      </x:c>
      <x:c r="M26" s="52" t="n">
        <x:f>IF(OR(J26="",L26=""),"",J26/L26)</x:f>
        <x:v>400</x:v>
      </x:c>
      <x:c r="N26" s="60" t="n">
        <x:v>46</x:v>
      </x:c>
      <x:c r="O26" s="47" t="str">
        <x:v>USD</x:v>
      </x:c>
      <x:c r="P26" s="62" t="n">
        <x:v>1</x:v>
      </x:c>
      <x:c r="Q26" s="66" t="n">
        <x:f>IF(OR(N26="",P26=""),"",N26/P26)</x:f>
        <x:v>46</x:v>
      </x:c>
      <x:c r="R26" s="64" t="n">
        <x:v>1.178684</x:v>
      </x:c>
      <x:c r="S26" s="47" t="str">
        <x:v>ADSs (mm)</x:v>
      </x:c>
      <x:c r="T26" s="52" t="n">
        <x:f>IF(OR(M26="",Q26=""),"",MAX(0,M26-Q26))</x:f>
        <x:v>354</x:v>
      </x:c>
      <x:c r="U26" s="58" t="n">
        <x:f>IF(OR(M26="",Q26="",M26=0),"",Q26/M26)</x:f>
        <x:v>0.115</x:v>
      </x:c>
      <x:c r="V26" s="50" t="n">
        <x:v>46894</x:v>
      </x:c>
      <x:c r="W26" s="50" t="n">
        <x:v>46022</x:v>
      </x:c>
      <x:c r="X26" s="50" t="n">
        <x:v>46129</x:v>
      </x:c>
      <x:c r="Y26" s="39" t="str">
        <x:v>2025 Form 20-F; 2026 quarterlies reviewed</x:v>
      </x:c>
      <x:c r="Z26" s="39" t="str">
        <x:v>Latest quantified cumulative execution located</x:v>
      </x:c>
      <x:c r="AA26" s="39" t="str">
        <x:v>B</x:v>
      </x:c>
      <x:c r="AB26" s="39" t="str">
        <x:v>https://ir.yaduo.com/financial-information/annual-reports/</x:v>
      </x:c>
      <x:c r="AC26" s="39" t="str">
        <x:v>https://ir.yaduo.com/</x:v>
      </x:c>
      <x:c r="AD26" s="39" t="str">
        <x:v>https://ir.yaduo.com/financial-information/annual-reports/</x:v>
      </x:c>
      <x:c r="AE26" s="39" t="str">
        <x:v>2025 annual filing disclosed 1,178,684 ADSs (~3,536,052 Class A ordinary shares) for ~US$46m through 31-Dec-2025. Later 2026 quarterlies reviewed did not give a newer quantified program balance.</x:v>
      </x:c>
      <x:c r="AF26" s="39" t="str">
        <x:v>Execution may have changed after 31-Dec-2025; data-as-of column makes this staleness explicit.</x:v>
      </x:c>
    </x:row>
    <x:row r="27">
      <x:c r="A27" s="47" t="str">
        <x:v>RLX Technology Inc.</x:v>
      </x:c>
      <x:c r="B27" s="47" t="str">
        <x:v>RLX</x:v>
      </x:c>
      <x:c r="C27" s="47" t="str">
        <x:v>NYSE</x:v>
      </x:c>
      <x:c r="D27" s="47" t="str">
        <x:v>No</x:v>
      </x:c>
      <x:c r="E27" s="47"/>
      <x:c r="F27" s="47"/>
      <x:c r="G27" s="47" t="n">
        <x:v>1</x:v>
      </x:c>
      <x:c r="H27" s="50" t="n">
        <x:v>46022</x:v>
      </x:c>
      <x:c r="I27" s="39" t="str">
        <x:v>US$500m program extended for 24 months through 31-Dec-2027; authorization not reset.</x:v>
      </x:c>
      <x:c r="J27" s="60" t="n">
        <x:v>500</x:v>
      </x:c>
      <x:c r="K27" s="47" t="str">
        <x:v>USD</x:v>
      </x:c>
      <x:c r="L27" s="62" t="n">
        <x:v>1</x:v>
      </x:c>
      <x:c r="M27" s="52" t="n">
        <x:f>IF(OR(J27="",L27=""),"",J27/L27)</x:f>
        <x:v>500</x:v>
      </x:c>
      <x:c r="N27" s="60" t="n">
        <x:v>330</x:v>
      </x:c>
      <x:c r="O27" s="47" t="str">
        <x:v>USD</x:v>
      </x:c>
      <x:c r="P27" s="62" t="n">
        <x:v>1</x:v>
      </x:c>
      <x:c r="Q27" s="66" t="n">
        <x:f>IF(OR(N27="",P27=""),"",N27/P27)</x:f>
        <x:v>330</x:v>
      </x:c>
      <x:c r="R27" s="64" t="n">
        <x:v>170</x:v>
      </x:c>
      <x:c r="S27" s="47" t="str">
        <x:v>Ordinary shares represented by ADSs (mm)</x:v>
      </x:c>
      <x:c r="T27" s="52" t="n">
        <x:f>IF(OR(M27="",Q27=""),"",MAX(0,M27-Q27))</x:f>
        <x:v>170</x:v>
      </x:c>
      <x:c r="U27" s="58" t="n">
        <x:f>IF(OR(M27="",Q27="",M27=0),"",Q27/M27)</x:f>
        <x:v>0.66</x:v>
      </x:c>
      <x:c r="V27" s="50" t="n">
        <x:v>46752</x:v>
      </x:c>
      <x:c r="W27" s="50" t="n">
        <x:v>46022</x:v>
      </x:c>
      <x:c r="X27" s="50" t="n">
        <x:v>46022</x:v>
      </x:c>
      <x:c r="Y27" s="39" t="str">
        <x:v>Program extension / latest quantified disclosure</x:v>
      </x:c>
      <x:c r="Z27" s="39" t="str">
        <x:v>Company-disclosed cumulative execution</x:v>
      </x:c>
      <x:c r="AA27" s="39" t="str">
        <x:v>A</x:v>
      </x:c>
      <x:c r="AB27" s="39" t="str">
        <x:v>https://ir.relxtech.com/2025-12-31-RLX-Technology-Extends-US-500-Million-Share-Repurchase-Program</x:v>
      </x:c>
      <x:c r="AC27" s="39" t="str">
        <x:v>https://ir.relxtech.com/2025-12-31-RLX-Technology-Extends-US-500-Million-Share-Repurchase-Program</x:v>
      </x:c>
      <x:c r="AD27" s="39" t="str">
        <x:v>https://ir.relxtech.com/2025-12-31-RLX-Technology-Extends-US-500-Million-Share-Repurchase-Program</x:v>
      </x:c>
      <x:c r="AE27" s="39" t="str">
        <x:v>Company disclosed ~170m ordinary shares repurchased for ~US$330m cumulatively as of 31-Dec-2025.</x:v>
      </x:c>
      <x:c r="AF27" s="39"/>
    </x:row>
    <x:row r="28">
      <x:c r="A28" s="47" t="str">
        <x:v>Autohome Inc.</x:v>
      </x:c>
      <x:c r="B28" s="47" t="str">
        <x:v>ATHM</x:v>
      </x:c>
      <x:c r="C28" s="47" t="str">
        <x:v>NYSE</x:v>
      </x:c>
      <x:c r="D28" s="47" t="str">
        <x:v>Yes</x:v>
      </x:c>
      <x:c r="E28" s="47" t="str">
        <x:v>HKEX</x:v>
      </x:c>
      <x:c r="F28" s="47" t="str">
        <x:v>2518</x:v>
      </x:c>
      <x:c r="G28" s="47" t="n">
        <x:v>1</x:v>
      </x:c>
      <x:c r="H28" s="50" t="n">
        <x:v>46231</x:v>
      </x:c>
      <x:c r="I28" s="39" t="str">
        <x:v>New US$400m ADS repurchase program over the following 12 months.</x:v>
      </x:c>
      <x:c r="J28" s="60" t="n">
        <x:v>400</x:v>
      </x:c>
      <x:c r="K28" s="47" t="str">
        <x:v>USD</x:v>
      </x:c>
      <x:c r="L28" s="62" t="n">
        <x:v>1</x:v>
      </x:c>
      <x:c r="M28" s="52" t="n">
        <x:f>IF(OR(J28="",L28=""),"",J28/L28)</x:f>
        <x:v>400</x:v>
      </x:c>
      <x:c r="N28" s="60" t="n">
        <x:v>43.6</x:v>
      </x:c>
      <x:c r="O28" s="47" t="str">
        <x:v>USD</x:v>
      </x:c>
      <x:c r="P28" s="62" t="n">
        <x:v>1</x:v>
      </x:c>
      <x:c r="Q28" s="66" t="n">
        <x:f>IF(OR(N28="",P28=""),"",N28/P28)</x:f>
        <x:v>43.6</x:v>
      </x:c>
      <x:c r="R28" s="64" t="n">
        <x:v>1.895093</x:v>
      </x:c>
      <x:c r="S28" s="47" t="str">
        <x:v>ADSs (mm)</x:v>
      </x:c>
      <x:c r="T28" s="52" t="n">
        <x:f>IF(OR(M28="",Q28=""),"",MAX(0,M28-Q28))</x:f>
        <x:v>356.4</x:v>
      </x:c>
      <x:c r="U28" s="58" t="n">
        <x:f>IF(OR(M28="",Q28="",M28=0),"",Q28/M28)</x:f>
        <x:v>0.109</x:v>
      </x:c>
      <x:c r="V28" s="50" t="n">
        <x:v>46595</x:v>
      </x:c>
      <x:c r="W28" s="50" t="n">
        <x:v>46248</x:v>
      </x:c>
      <x:c r="X28" s="50" t="n">
        <x:v>46254</x:v>
      </x:c>
      <x:c r="Y28" s="39" t="str">
        <x:v>Q2 / interim 2026 results</x:v>
      </x:c>
      <x:c r="Z28" s="39" t="str">
        <x:v>Company-disclosed execution under new program</x:v>
      </x:c>
      <x:c r="AA28" s="39" t="str">
        <x:v>A</x:v>
      </x:c>
      <x:c r="AB28" s="39" t="str">
        <x:v>https://www.prnewswire.com/news-releases/autohome-inc-announces-unaudited-second-quarter-and-interim-2026-financial-results-302856268.html</x:v>
      </x:c>
      <x:c r="AC28" s="39" t="str">
        <x:v>https://autohomeinc.gcs-web.com/news-releases/news-release-details/autohome-inc-announces-us400-million-new-share-repurchase</x:v>
      </x:c>
      <x:c r="AD28" s="39" t="str">
        <x:v>https://www.prnewswire.com/news-releases/autohome-inc-announces-unaudited-second-quarter-and-interim-2026-financial-results-302856268.html</x:v>
      </x:c>
      <x:c r="AE28" s="39" t="str">
        <x:v>Company disclosed 1,895,093 ADSs repurchased for US$43.6m under the new program through 14-Aug-2026.</x:v>
      </x:c>
      <x:c r="AF28" s="39" t="str">
        <x:v>Separate US$200m program announced 5-Mar-2026 was completed on 30-Jul-2026 and is excluded.</x:v>
      </x:c>
    </x:row>
    <x:row r="29">
      <x:c r="A29" s="47" t="str">
        <x:v>Weibo Corporation</x:v>
      </x:c>
      <x:c r="B29" s="47" t="str">
        <x:v>WB</x:v>
      </x:c>
      <x:c r="C29" s="47" t="str">
        <x:v>NASDAQ GS</x:v>
      </x:c>
      <x:c r="D29" s="47" t="str">
        <x:v>Yes</x:v>
      </x:c>
      <x:c r="E29" s="47" t="str">
        <x:v>HKEX</x:v>
      </x:c>
      <x:c r="F29" s="47" t="str">
        <x:v>9898</x:v>
      </x:c>
      <x:c r="G29" s="47" t="n">
        <x:v>1</x:v>
      </x:c>
      <x:c r="H29" s="50" t="n">
        <x:v>46022</x:v>
      </x:c>
      <x:c r="I29" s="39" t="str">
        <x:v>US$200m share repurchase program over the following 12 months.</x:v>
      </x:c>
      <x:c r="J29" s="60" t="n">
        <x:v>200</x:v>
      </x:c>
      <x:c r="K29" s="47" t="str">
        <x:v>USD</x:v>
      </x:c>
      <x:c r="L29" s="62" t="n">
        <x:v>1</x:v>
      </x:c>
      <x:c r="M29" s="52" t="n">
        <x:f>IF(OR(J29="",L29=""),"",J29/L29)</x:f>
        <x:v>200</x:v>
      </x:c>
      <x:c r="N29" s="60"/>
      <x:c r="O29" s="47" t="str">
        <x:v>USD</x:v>
      </x:c>
      <x:c r="P29" s="62" t="n">
        <x:v>1</x:v>
      </x:c>
      <x:c r="Q29" s="66" t="str">
        <x:f>IF(OR(N29="",P29=""),"",N29/P29)</x:f>
      </x:c>
      <x:c r="R29" s="64"/>
      <x:c r="S29" s="47"/>
      <x:c r="T29" s="52" t="str">
        <x:f>IF(OR(M29="",Q29=""),"",MAX(0,M29-Q29))</x:f>
      </x:c>
      <x:c r="U29" s="58" t="str">
        <x:f>IF(OR(M29="",Q29="",M29=0),"",Q29/M29)</x:f>
      </x:c>
      <x:c r="V29" s="50" t="n">
        <x:v>46387</x:v>
      </x:c>
      <x:c r="W29" s="50" t="n">
        <x:v>46022</x:v>
      </x:c>
      <x:c r="X29" s="50" t="n">
        <x:v>46140</x:v>
      </x:c>
      <x:c r="Y29" s="39" t="str">
        <x:v>2025 Form 20-F / program Form 6-K</x:v>
      </x:c>
      <x:c r="Z29" s="39" t="str">
        <x:v>No quantified execution under the new program located by cutoff</x:v>
      </x:c>
      <x:c r="AA29" s="39" t="str">
        <x:v>C</x:v>
      </x:c>
      <x:c r="AB29" s="39" t="str">
        <x:v>https://www.sec.gov/Archives/edgar/data/1595761/000110465926047217/wb-20251231x20f.htm</x:v>
      </x:c>
      <x:c r="AC29" s="39" t="str">
        <x:v>https://www.sec.gov/Archives/edgar/data/1595761/000110465925125383/tm2534497d1_6k.htm</x:v>
      </x:c>
      <x:c r="AD29" s="39" t="str">
        <x:v>https://www.sec.gov/Archives/edgar/data/1595761/000110465926047217/wb-20251231x20f.htm</x:v>
      </x:c>
      <x:c r="AE29" s="39" t="str">
        <x:v>Authorization is directly disclosed. Execution is intentionally blank rather than assumed zero because no quantified current-program execution disclosure was located by 21-Aug-2026.</x:v>
      </x:c>
      <x:c r="AF29" s="39"/>
    </x:row>
    <x:row r="30">
      <x:c r="A30" s="47" t="str">
        <x:v>iQIYI, Inc.</x:v>
      </x:c>
      <x:c r="B30" s="47" t="str">
        <x:v>IQ</x:v>
      </x:c>
      <x:c r="C30" s="47" t="str">
        <x:v>NASDAQ GS</x:v>
      </x:c>
      <x:c r="D30" s="47" t="str">
        <x:v>Pending</x:v>
      </x:c>
      <x:c r="E30" s="47" t="str">
        <x:v>HKEX (proposed)</x:v>
      </x:c>
      <x:c r="F30" s="47" t="str">
        <x:v>Pending</x:v>
      </x:c>
      <x:c r="G30" s="47" t="n">
        <x:v>1</x:v>
      </x:c>
      <x:c r="H30" s="50" t="n">
        <x:v>46111</x:v>
      </x:c>
      <x:c r="I30" s="39" t="str">
        <x:v>US$100m share repurchase program over the following 18 months, effective immediately.</x:v>
      </x:c>
      <x:c r="J30" s="60" t="n">
        <x:v>100</x:v>
      </x:c>
      <x:c r="K30" s="47" t="str">
        <x:v>USD</x:v>
      </x:c>
      <x:c r="L30" s="62" t="n">
        <x:v>1</x:v>
      </x:c>
      <x:c r="M30" s="52" t="n">
        <x:f>IF(OR(J30="",L30=""),"",J30/L30)</x:f>
        <x:v>100</x:v>
      </x:c>
      <x:c r="N30" s="60" t="n">
        <x:v>24.1</x:v>
      </x:c>
      <x:c r="O30" s="47" t="str">
        <x:v>USD</x:v>
      </x:c>
      <x:c r="P30" s="62" t="n">
        <x:v>1</x:v>
      </x:c>
      <x:c r="Q30" s="66" t="n">
        <x:f>IF(OR(N30="",P30=""),"",N30/P30)</x:f>
        <x:v>24.1</x:v>
      </x:c>
      <x:c r="R30" s="64" t="n">
        <x:v>21.8</x:v>
      </x:c>
      <x:c r="S30" s="47" t="str">
        <x:v>ADSs (mm)</x:v>
      </x:c>
      <x:c r="T30" s="52" t="n">
        <x:f>IF(OR(M30="",Q30=""),"",MAX(0,M30-Q30))</x:f>
        <x:v>75.9</x:v>
      </x:c>
      <x:c r="U30" s="58" t="n">
        <x:f>IF(OR(M30="",Q30="",M30=0),"",Q30/M30)</x:f>
        <x:v>0.24100000000000002</x:v>
      </x:c>
      <x:c r="V30" s="50" t="n">
        <x:v>46660</x:v>
      </x:c>
      <x:c r="W30" s="50" t="n">
        <x:v>46203</x:v>
      </x:c>
      <x:c r="X30" s="50" t="n">
        <x:v>46254</x:v>
      </x:c>
      <x:c r="Y30" s="39" t="str">
        <x:v>Q2 2026 results</x:v>
      </x:c>
      <x:c r="Z30" s="39" t="str">
        <x:v>Company-disclosed cumulative execution</x:v>
      </x:c>
      <x:c r="AA30" s="39" t="str">
        <x:v>A</x:v>
      </x:c>
      <x:c r="AB30" s="39" t="str">
        <x:v>https://ir.iqiyi.com/news-releases/news-release-details/iqiyi-announces-second-quarter-2026-financial-results</x:v>
      </x:c>
      <x:c r="AC30" s="39" t="str">
        <x:v>https://www.sec.gov/Archives/edgar/data/1722608/000119312526131759/d15446dex991.htm</x:v>
      </x:c>
      <x:c r="AD30" s="39" t="str">
        <x:v>https://ir.iqiyi.com/news-releases/news-release-details/iqiyi-announces-second-quarter-2026-financial-results</x:v>
      </x:c>
      <x:c r="AE30" s="39" t="str">
        <x:v>Company disclosed 21.8m ADSs repurchased for US$24.1m as of 30-Jun-2026.</x:v>
      </x:c>
      <x:c r="AF30" s="39" t="str">
        <x:v>HKEX listing was proposed/pending, not completed, as of workbook cutoff.</x:v>
      </x:c>
    </x:row>
    <x:row r="31">
      <x:c r="A31" s="47" t="str">
        <x:v>GigaCloud Technology Inc.</x:v>
      </x:c>
      <x:c r="B31" s="47" t="str">
        <x:v>GCT</x:v>
      </x:c>
      <x:c r="C31" s="47" t="str">
        <x:v>NASDAQ GM</x:v>
      </x:c>
      <x:c r="D31" s="47" t="str">
        <x:v>No</x:v>
      </x:c>
      <x:c r="E31" s="47"/>
      <x:c r="F31" s="47"/>
      <x:c r="G31" s="47" t="n">
        <x:v>1</x:v>
      </x:c>
      <x:c r="H31" s="50" t="n">
        <x:v>46239</x:v>
      </x:c>
      <x:c r="I31" s="39" t="str">
        <x:v>New US$120m program, effective 6-Aug-2026 for three years; prior program terminated.</x:v>
      </x:c>
      <x:c r="J31" s="60" t="n">
        <x:v>120</x:v>
      </x:c>
      <x:c r="K31" s="47" t="str">
        <x:v>USD</x:v>
      </x:c>
      <x:c r="L31" s="62" t="n">
        <x:v>1</x:v>
      </x:c>
      <x:c r="M31" s="52" t="n">
        <x:f>IF(OR(J31="",L31=""),"",J31/L31)</x:f>
        <x:v>120</x:v>
      </x:c>
      <x:c r="N31" s="60"/>
      <x:c r="O31" s="47" t="str">
        <x:v>USD</x:v>
      </x:c>
      <x:c r="P31" s="62" t="n">
        <x:v>1</x:v>
      </x:c>
      <x:c r="Q31" s="66" t="str">
        <x:f>IF(OR(N31="",P31=""),"",N31/P31)</x:f>
      </x:c>
      <x:c r="R31" s="64"/>
      <x:c r="S31" s="47"/>
      <x:c r="T31" s="52" t="str">
        <x:f>IF(OR(M31="",Q31=""),"",MAX(0,M31-Q31))</x:f>
      </x:c>
      <x:c r="U31" s="58" t="str">
        <x:f>IF(OR(M31="",Q31="",M31=0),"",Q31/M31)</x:f>
      </x:c>
      <x:c r="V31" s="50" t="n">
        <x:v>47335</x:v>
      </x:c>
      <x:c r="W31" s="50" t="n">
        <x:v>46240</x:v>
      </x:c>
      <x:c r="X31" s="50" t="n">
        <x:v>46240</x:v>
      </x:c>
      <x:c r="Y31" s="39" t="str">
        <x:v>Q2 2026 results / program announcement</x:v>
      </x:c>
      <x:c r="Z31" s="39" t="str">
        <x:v>No post-launch quarterly/annual execution disclosure available by cutoff</x:v>
      </x:c>
      <x:c r="AA31" s="39" t="str">
        <x:v>C</x:v>
      </x:c>
      <x:c r="AB31" s="39" t="str">
        <x:v>https://investors.gigacloudtech.com/news-releases/news-release-details/gigacloud-technology-inc-announces-second-quarter-and-six-1</x:v>
      </x:c>
      <x:c r="AC31" s="39" t="str">
        <x:v>https://investors.gigacloudtech.com/news-releases/news-release-details/gigacloud-technology-inc-announces-second-quarter-and-six-1</x:v>
      </x:c>
      <x:c r="AD31" s="39" t="str">
        <x:v>https://investors.gigacloudtech.com/news-releases/news-release-details/gigacloud-technology-inc-announces-second-quarter-and-six-1</x:v>
      </x:c>
      <x:c r="AE31" s="39" t="str">
        <x:v>New program became effective 6-Aug-2026. Execution is blank rather than assumed zero because no subsequent quarterly/annual execution disclosure existed by 21-Aug-2026.</x:v>
      </x:c>
      <x:c r="AF31" s="39" t="str">
        <x:v>Prior 2025 US$111m authorization was terminated/replaced.</x:v>
      </x:c>
    </x:row>
  </x:sheetData>
  <x:mergeCells>
    <x:mergeCell ref="A1:H1"/>
    <x:mergeCell ref="A2:V2"/>
  </x:mergeCells>
  <x:conditionalFormatting sqref="AA5:AA31">
    <x:cfRule type="expression" dxfId="0" priority="1">
      <x:formula>AA5="A"</x:formula>
    </x:cfRule>
    <x:cfRule type="expression" dxfId="1" priority="2">
      <x:formula>AA5="B"</x:formula>
    </x:cfRule>
    <x:cfRule type="expression" dxfId="2" priority="3">
      <x:formula>AA5="C"</x:formula>
    </x:cfRule>
  </x:conditionalFormatting>
  <x:conditionalFormatting sqref="U5:U31">
    <x:cfRule type="dataBar" priority="4">
      <x:dataBar>
        <x:cfvo type="min"/>
        <x:cfvo type="max"/>
        <x:color rgb="FF156082"/>
      </x:dataBar>
      <x:extLst>
        <x:ext xmlns:x14="http://schemas.microsoft.com/office/spreadsheetml/2009/9/main" uri="{B025F937-C7B1-47D3-B67F-A62EFF666E3E}">
          <x14:id>{13038674-BACB-25A5-7EEE-5F43E74EAC6D}</x14:id>
        </x:ext>
      </x:extLst>
    </x:cfRule>
  </x:conditionalFormatting>
  <x:pageMargins left="0.7" right="0.7" top="0.75" bottom="0.75" header="0.3" footer="0.3"/>
  <x:tableParts count="1">
    <x:tablePart xmlns:r="http://schemas.openxmlformats.org/officeDocument/2006/relationships" r:id="Rb0fcfd395af242e8"/>
  </x:tableParts>
  <x:extLst>
    <x:ext xmlns:x14="http://schemas.microsoft.com/office/spreadsheetml/2009/9/main" xmlns:xm="http://schemas.microsoft.com/office/excel/2006/main" uri="{78C0D931-6437-407d-A8EE-F0AAD7539E65}">
      <x14:conditionalFormattings>
        <x14:conditionalFormatting>
          <x14:cfRule type="dataBar" priority="4" id="{13038674-BACB-25A5-7EEE-5F43E74EAC6D}">
            <x14:dataBar gradient="1">
              <x14:cfvo type="min"/>
              <x14:cfvo type="max"/>
              <x14:fillColor rgb="FF156082"/>
            </x14:dataBar>
          </x14:cfRule>
          <xm:sqref>U5:U31</xm:sqref>
        </x14:conditionalFormatting>
      </x14:conditionalFormattings>
    </x:ext>
  </x:extLst>
</x:worksheet>
</file>

<file path=xl/worksheets/sheet4.xml><?xml version="1.0" encoding="utf-8"?>
<x:worksheet xmlns:x="http://schemas.openxmlformats.org/spreadsheetml/2006/main">
  <x:sheetFormatPr defaultRowHeight="15"/>
  <x:cols>
    <x:col min="1" max="1" width="34" hidden="0" customWidth="1"/>
    <x:col min="2" max="2" width="11" hidden="0" customWidth="1"/>
    <x:col min="3" max="3" width="15" hidden="0" customWidth="1"/>
    <x:col min="4" max="4" width="16" hidden="0" customWidth="1"/>
    <x:col min="5" max="5" width="18" hidden="0" customWidth="1"/>
    <x:col min="6" max="6" width="16" hidden="0" customWidth="1"/>
    <x:col min="7" max="7" width="14" hidden="0" customWidth="1"/>
    <x:col min="8" max="8" width="10" hidden="0" customWidth="1"/>
    <x:col min="9" max="9" width="65" hidden="0" customWidth="1"/>
    <x:col min="10" max="10" width="55" hidden="0" customWidth="1"/>
  </x:cols>
  <x:sheetData>
    <x:row r="1">
      <x:c r="A1" s="4" t="str">
        <x:v>Screening Universe — All Firms from Provided List</x:v>
      </x:c>
      <x:c r="B1" s="4"/>
      <x:c r="C1" s="4"/>
      <x:c r="D1" s="4"/>
      <x:c r="E1" s="4"/>
      <x:c r="F1" s="4"/>
      <x:c r="G1" s="4"/>
      <x:c r="H1" s="4"/>
      <x:c r="I1" s="4"/>
      <x:c r="J1" s="4"/>
    </x:row>
    <x:row r="2">
      <x:c r="A2" s="43" t="str">
        <x:v>37 firms screened through 2026-08-21. 'No active' includes completed/expired programs and generic repurchase mandates without a specific economic program.</x:v>
      </x:c>
      <x:c r="B2" s="43"/>
      <x:c r="C2" s="43"/>
      <x:c r="D2" s="43"/>
      <x:c r="E2" s="43"/>
      <x:c r="F2" s="43"/>
      <x:c r="G2" s="43"/>
      <x:c r="H2" s="43"/>
      <x:c r="I2" s="43"/>
      <x:c r="J2" s="43"/>
    </x:row>
    <x:row r="4">
      <x:c r="A4" s="11" t="str">
        <x:v>Company</x:v>
      </x:c>
      <x:c r="B4" s="11" t="str">
        <x:v>US Ticker</x:v>
      </x:c>
      <x:c r="C4" s="11" t="str">
        <x:v>Primary Exchange</x:v>
      </x:c>
      <x:c r="D4" s="11" t="str">
        <x:v>Dual / Other Listed?</x:v>
      </x:c>
      <x:c r="E4" s="11" t="str">
        <x:v>Other Exchange</x:v>
      </x:c>
      <x:c r="F4" s="11" t="str">
        <x:v>Other Ticker</x:v>
      </x:c>
      <x:c r="G4" s="11" t="str">
        <x:v>Active Program Count</x:v>
      </x:c>
      <x:c r="H4" s="11" t="str">
        <x:v>Active?</x:v>
      </x:c>
      <x:c r="I4" s="11" t="str">
        <x:v>Screening Conclusion</x:v>
      </x:c>
      <x:c r="J4" s="11" t="str">
        <x:v>Most Relevant Review Source</x:v>
      </x:c>
    </x:row>
    <x:row r="5">
      <x:c r="A5" s="47" t="str">
        <x:v>Alibaba Group Holding Ltd</x:v>
      </x:c>
      <x:c r="B5" s="47" t="str">
        <x:v>BABA</x:v>
      </x:c>
      <x:c r="C5" s="47" t="str">
        <x:v>NYSE</x:v>
      </x:c>
      <x:c r="D5" s="47" t="str">
        <x:v>Yes</x:v>
      </x:c>
      <x:c r="E5" s="47" t="str">
        <x:v>HKEX</x:v>
      </x:c>
      <x:c r="F5" s="47" t="str">
        <x:v>9988 / 89988</x:v>
      </x:c>
      <x:c r="G5" s="47" t="n">
        <x:v>1</x:v>
      </x:c>
      <x:c r="H5" s="47" t="str">
        <x:v>Yes</x:v>
      </x:c>
      <x:c r="I5" s="39" t="str">
        <x:v>Active formal issuer repurchase authorization</x:v>
      </x:c>
      <x:c r="J5" s="39" t="str">
        <x:v>https://data.alibabagroup.com/ecms-files/1532295521/fa5d65fc-9b3e-4e82-a8fc-4ce1c3e2c407/Alibaba%20Group%20Announces%20June%20Quarter%202026%20Results.pdf</x:v>
      </x:c>
    </x:row>
    <x:row r="6">
      <x:c r="A6" s="47" t="str">
        <x:v>PDD Holdings Inc.</x:v>
      </x:c>
      <x:c r="B6" s="47" t="str">
        <x:v>PDD</x:v>
      </x:c>
      <x:c r="C6" s="47" t="str">
        <x:v>NASDAQ GS</x:v>
      </x:c>
      <x:c r="D6" s="47" t="str">
        <x:v>No</x:v>
      </x:c>
      <x:c r="E6" s="47"/>
      <x:c r="F6" s="47"/>
      <x:c r="G6" s="47" t="n">
        <x:v>0</x:v>
      </x:c>
      <x:c r="H6" s="47" t="str">
        <x:v>No</x:v>
      </x:c>
      <x:c r="I6" s="39" t="str">
        <x:v>No specific active issuer repurchase authorization identified in latest annual filing.</x:v>
      </x:c>
      <x:c r="J6" s="39" t="str">
        <x:v>https://www.sec.gov/Archives/edgar/data/1737806/000110465926050727/pdd-20251231x20f.htm</x:v>
      </x:c>
    </x:row>
    <x:row r="7">
      <x:c r="A7" s="47" t="str">
        <x:v>NetEase, Inc.</x:v>
      </x:c>
      <x:c r="B7" s="47" t="str">
        <x:v>NTES</x:v>
      </x:c>
      <x:c r="C7" s="47" t="str">
        <x:v>NASDAQ GS</x:v>
      </x:c>
      <x:c r="D7" s="47" t="str">
        <x:v>Yes</x:v>
      </x:c>
      <x:c r="E7" s="47" t="str">
        <x:v>HKEX</x:v>
      </x:c>
      <x:c r="F7" s="47" t="str">
        <x:v>9999</x:v>
      </x:c>
      <x:c r="G7" s="47" t="n">
        <x:v>1</x:v>
      </x:c>
      <x:c r="H7" s="47" t="str">
        <x:v>Yes</x:v>
      </x:c>
      <x:c r="I7" s="39" t="str">
        <x:v>Active formal issuer repurchase authorization</x:v>
      </x:c>
      <x:c r="J7" s="39" t="str">
        <x:v>https://www.prnewswire.com/news-releases/netease-announces-second-quarter-and-interim-2026-unaudited-financial-results-302856259.html</x:v>
      </x:c>
    </x:row>
    <x:row r="8">
      <x:c r="A8" s="47" t="str">
        <x:v>JD.com, Inc.</x:v>
      </x:c>
      <x:c r="B8" s="47" t="str">
        <x:v>JD</x:v>
      </x:c>
      <x:c r="C8" s="47" t="str">
        <x:v>NASDAQ GS</x:v>
      </x:c>
      <x:c r="D8" s="47" t="str">
        <x:v>Yes</x:v>
      </x:c>
      <x:c r="E8" s="47" t="str">
        <x:v>HKEX</x:v>
      </x:c>
      <x:c r="F8" s="47" t="str">
        <x:v>9618 / 89618</x:v>
      </x:c>
      <x:c r="G8" s="47" t="n">
        <x:v>1</x:v>
      </x:c>
      <x:c r="H8" s="47" t="str">
        <x:v>Yes</x:v>
      </x:c>
      <x:c r="I8" s="39" t="str">
        <x:v>Active formal issuer repurchase authorization</x:v>
      </x:c>
      <x:c r="J8" s="39" t="str">
        <x:v>https://ir.jd.com/news-releases/news-release-details/jdcom-announces-second-quarter-and-interim-2026-results</x:v>
      </x:c>
    </x:row>
    <x:row r="9">
      <x:c r="A9" s="47" t="str">
        <x:v>Trip.com Group Ltd</x:v>
      </x:c>
      <x:c r="B9" s="47" t="str">
        <x:v>TCOM</x:v>
      </x:c>
      <x:c r="C9" s="47" t="str">
        <x:v>NASDAQ GS</x:v>
      </x:c>
      <x:c r="D9" s="47" t="str">
        <x:v>Yes</x:v>
      </x:c>
      <x:c r="E9" s="47" t="str">
        <x:v>HKEX</x:v>
      </x:c>
      <x:c r="F9" s="47" t="str">
        <x:v>9961</x:v>
      </x:c>
      <x:c r="G9" s="47" t="n">
        <x:v>2</x:v>
      </x:c>
      <x:c r="H9" s="47" t="str">
        <x:v>Yes</x:v>
      </x:c>
      <x:c r="I9" s="39" t="str">
        <x:v>Two active authorizations; issuer reports some residual capacity in aggregate, so program-by-program execution is not fully separable.</x:v>
      </x:c>
      <x:c r="J9" s="39" t="str">
        <x:v>https://www.sec.gov/Archives/edgar/data/1269238/000119312526183379/d27369d20f.htm</x:v>
      </x:c>
    </x:row>
    <x:row r="10">
      <x:c r="A10" s="47" t="str">
        <x:v>Baidu, Inc.</x:v>
      </x:c>
      <x:c r="B10" s="47" t="str">
        <x:v>BIDU</x:v>
      </x:c>
      <x:c r="C10" s="47" t="str">
        <x:v>NASDAQ GS</x:v>
      </x:c>
      <x:c r="D10" s="47" t="str">
        <x:v>Yes</x:v>
      </x:c>
      <x:c r="E10" s="47" t="str">
        <x:v>HKEX</x:v>
      </x:c>
      <x:c r="F10" s="47" t="str">
        <x:v>9888 / 89888</x:v>
      </x:c>
      <x:c r="G10" s="47" t="n">
        <x:v>1</x:v>
      </x:c>
      <x:c r="H10" s="47" t="str">
        <x:v>Yes</x:v>
      </x:c>
      <x:c r="I10" s="39" t="str">
        <x:v>Active formal issuer repurchase authorization</x:v>
      </x:c>
      <x:c r="J10" s="39" t="str">
        <x:v>https://baidu.gcs-web.com/news-releases/news-release-details/baidu-announces-second-quarter-2026-results</x:v>
      </x:c>
    </x:row>
    <x:row r="11">
      <x:c r="A11" s="47" t="str">
        <x:v>Li Auto Inc.</x:v>
      </x:c>
      <x:c r="B11" s="47" t="str">
        <x:v>LI</x:v>
      </x:c>
      <x:c r="C11" s="47" t="str">
        <x:v>NASDAQ GS</x:v>
      </x:c>
      <x:c r="D11" s="47" t="str">
        <x:v>Yes</x:v>
      </x:c>
      <x:c r="E11" s="47" t="str">
        <x:v>HKEX</x:v>
      </x:c>
      <x:c r="F11" s="47" t="str">
        <x:v>2015</x:v>
      </x:c>
      <x:c r="G11" s="47" t="n">
        <x:v>1</x:v>
      </x:c>
      <x:c r="H11" s="47" t="str">
        <x:v>Yes</x:v>
      </x:c>
      <x:c r="I11" s="39" t="str">
        <x:v>Active formal issuer repurchase authorization</x:v>
      </x:c>
      <x:c r="J11" s="39" t="str">
        <x:v>https://ir.lixiang.com/news-releases/news-release-details/li-auto-inc-announces-unaudited-first-quarter-2026-financial/</x:v>
      </x:c>
    </x:row>
    <x:row r="12">
      <x:c r="A12" s="47" t="str">
        <x:v>KE Holdings Inc.</x:v>
      </x:c>
      <x:c r="B12" s="47" t="str">
        <x:v>BEKE</x:v>
      </x:c>
      <x:c r="C12" s="47" t="str">
        <x:v>NYSE</x:v>
      </x:c>
      <x:c r="D12" s="47" t="str">
        <x:v>Yes</x:v>
      </x:c>
      <x:c r="E12" s="47" t="str">
        <x:v>HKEX</x:v>
      </x:c>
      <x:c r="F12" s="47" t="str">
        <x:v>2423</x:v>
      </x:c>
      <x:c r="G12" s="47" t="n">
        <x:v>1</x:v>
      </x:c>
      <x:c r="H12" s="47" t="str">
        <x:v>Yes</x:v>
      </x:c>
      <x:c r="I12" s="39" t="str">
        <x:v>Active formal issuer repurchase authorization</x:v>
      </x:c>
      <x:c r="J12" s="39" t="str">
        <x:v>https://investors.ke.com/news-releases/news-release-details/ke-holdings-inc-announces-first-quarter-2026-unaudited-financial</x:v>
      </x:c>
    </x:row>
    <x:row r="13">
      <x:c r="A13" s="47" t="str">
        <x:v>BeOne Medicines Ltd</x:v>
      </x:c>
      <x:c r="B13" s="47" t="str">
        <x:v>ONC</x:v>
      </x:c>
      <x:c r="C13" s="47" t="str">
        <x:v>NASDAQ GS</x:v>
      </x:c>
      <x:c r="D13" s="47" t="str">
        <x:v>Yes</x:v>
      </x:c>
      <x:c r="E13" s="47" t="str">
        <x:v>HKEX; SSE STAR</x:v>
      </x:c>
      <x:c r="F13" s="47" t="str">
        <x:v>6160; 688235</x:v>
      </x:c>
      <x:c r="G13" s="47" t="n">
        <x:v>0</x:v>
      </x:c>
      <x:c r="H13" s="47" t="str">
        <x:v>No</x:v>
      </x:c>
      <x:c r="I13" s="39" t="str">
        <x:v>No specific active economic repurchase program identified; general repurchase mandate only.</x:v>
      </x:c>
      <x:c r="J13" s="39" t="str">
        <x:v>https://www.sec.gov/Archives/edgar/data/1651308/000110465926049655/tm261479-4_def14a.htm</x:v>
      </x:c>
    </x:row>
    <x:row r="14">
      <x:c r="A14" s="47" t="str">
        <x:v>Tencent Music Entertainment Group</x:v>
      </x:c>
      <x:c r="B14" s="47" t="str">
        <x:v>TME</x:v>
      </x:c>
      <x:c r="C14" s="47" t="str">
        <x:v>NYSE</x:v>
      </x:c>
      <x:c r="D14" s="47" t="str">
        <x:v>Yes</x:v>
      </x:c>
      <x:c r="E14" s="47" t="str">
        <x:v>HKEX</x:v>
      </x:c>
      <x:c r="F14" s="47" t="str">
        <x:v>1698</x:v>
      </x:c>
      <x:c r="G14" s="47" t="n">
        <x:v>1</x:v>
      </x:c>
      <x:c r="H14" s="47" t="str">
        <x:v>Yes</x:v>
      </x:c>
      <x:c r="I14" s="39" t="str">
        <x:v>Active formal issuer repurchase authorization</x:v>
      </x:c>
      <x:c r="J14" s="39" t="str">
        <x:v>https://ir.tencentmusic.com/2026-08-11-Tencent-Music-Entertainment-Group-Announces-Second-Quarter-2026-Unaudited-Financial-Results</x:v>
      </x:c>
    </x:row>
    <x:row r="15">
      <x:c r="A15" s="47" t="str">
        <x:v>XPeng Inc.</x:v>
      </x:c>
      <x:c r="B15" s="47" t="str">
        <x:v>XPEV</x:v>
      </x:c>
      <x:c r="C15" s="47" t="str">
        <x:v>NYSE</x:v>
      </x:c>
      <x:c r="D15" s="47" t="str">
        <x:v>Yes</x:v>
      </x:c>
      <x:c r="E15" s="47" t="str">
        <x:v>HKEX</x:v>
      </x:c>
      <x:c r="F15" s="47" t="str">
        <x:v>9868</x:v>
      </x:c>
      <x:c r="G15" s="47" t="n">
        <x:v>0</x:v>
      </x:c>
      <x:c r="H15" s="47" t="str">
        <x:v>No</x:v>
      </x:c>
      <x:c r="I15" s="39" t="str">
        <x:v>Latest annual filing states no specific share repurchase program; general HKEX mandate excluded.</x:v>
      </x:c>
      <x:c r="J15" s="39" t="str">
        <x:v>https://ir.xiaopeng.com/static-files/36bd2ef0-5b8e-4588-bfec-4ffafa1acf29</x:v>
      </x:c>
    </x:row>
    <x:row r="16">
      <x:c r="A16" s="47" t="str">
        <x:v>Yum China Holdings, Inc.</x:v>
      </x:c>
      <x:c r="B16" s="47" t="str">
        <x:v>YUMC</x:v>
      </x:c>
      <x:c r="C16" s="47" t="str">
        <x:v>NYSE</x:v>
      </x:c>
      <x:c r="D16" s="47" t="str">
        <x:v>Yes</x:v>
      </x:c>
      <x:c r="E16" s="47" t="str">
        <x:v>HKEX</x:v>
      </x:c>
      <x:c r="F16" s="47" t="str">
        <x:v>9987</x:v>
      </x:c>
      <x:c r="G16" s="47" t="n">
        <x:v>1</x:v>
      </x:c>
      <x:c r="H16" s="47" t="str">
        <x:v>Yes</x:v>
      </x:c>
      <x:c r="I16" s="39" t="str">
        <x:v>Active formal issuer repurchase authorization</x:v>
      </x:c>
      <x:c r="J16" s="39" t="str">
        <x:v>https://yumchinaholdingsinc.gcs-web.com/static-files/c309d2f1-c7e0-4750-89aa-2c4903fbd85b</x:v>
      </x:c>
    </x:row>
    <x:row r="17">
      <x:c r="A17" s="47" t="str">
        <x:v>ZTO Express (Cayman) Inc.</x:v>
      </x:c>
      <x:c r="B17" s="47" t="str">
        <x:v>ZTO</x:v>
      </x:c>
      <x:c r="C17" s="47" t="str">
        <x:v>NYSE</x:v>
      </x:c>
      <x:c r="D17" s="47" t="str">
        <x:v>Yes</x:v>
      </x:c>
      <x:c r="E17" s="47" t="str">
        <x:v>HKEX</x:v>
      </x:c>
      <x:c r="F17" s="47" t="str">
        <x:v>2057</x:v>
      </x:c>
      <x:c r="G17" s="47" t="n">
        <x:v>1</x:v>
      </x:c>
      <x:c r="H17" s="47" t="str">
        <x:v>Yes</x:v>
      </x:c>
      <x:c r="I17" s="39" t="str">
        <x:v>Active formal issuer repurchase authorization</x:v>
      </x:c>
      <x:c r="J17" s="39" t="str">
        <x:v>https://zto.investorroom.com/2026-08-18-ZTO-Reports-Second-Quarter-2026-Unaudited-Financial-Results</x:v>
      </x:c>
    </x:row>
    <x:row r="18">
      <x:c r="A18" s="47" t="str">
        <x:v>Full Truck Alliance Co. Ltd.</x:v>
      </x:c>
      <x:c r="B18" s="47" t="str">
        <x:v>YMM</x:v>
      </x:c>
      <x:c r="C18" s="47" t="str">
        <x:v>NYSE</x:v>
      </x:c>
      <x:c r="D18" s="47" t="str">
        <x:v>No</x:v>
      </x:c>
      <x:c r="E18" s="47"/>
      <x:c r="F18" s="47"/>
      <x:c r="G18" s="47" t="n">
        <x:v>0</x:v>
      </x:c>
      <x:c r="H18" s="47" t="str">
        <x:v>No</x:v>
      </x:c>
      <x:c r="I18" s="39" t="str">
        <x:v>Prior US$200m program expired 12-Mar-2026. 2026 shareholder-return framework permits potential buybacks but is not a fixed buyback authorization.</x:v>
      </x:c>
      <x:c r="J18" s="39" t="str">
        <x:v>https://ir.fulltruckalliance.com/2026-03-12-Full-Truck-Alliance-Co-Ltd-Announces-Fourth-Quarter-and-Fiscal-Year-2025-Unaudited-Financial-Results</x:v>
      </x:c>
    </x:row>
    <x:row r="19">
      <x:c r="A19" s="47" t="str">
        <x:v>H World Group Limited</x:v>
      </x:c>
      <x:c r="B19" s="47" t="str">
        <x:v>HTHT</x:v>
      </x:c>
      <x:c r="C19" s="47" t="str">
        <x:v>NASDAQ GS</x:v>
      </x:c>
      <x:c r="D19" s="47" t="str">
        <x:v>Yes</x:v>
      </x:c>
      <x:c r="E19" s="47" t="str">
        <x:v>HKEX</x:v>
      </x:c>
      <x:c r="F19" s="47" t="str">
        <x:v>1179</x:v>
      </x:c>
      <x:c r="G19" s="47" t="n">
        <x:v>1</x:v>
      </x:c>
      <x:c r="H19" s="47" t="str">
        <x:v>Yes</x:v>
      </x:c>
      <x:c r="I19" s="39" t="str">
        <x:v>Active five-year US$1.0bn ADS repurchase program. New Aug-2026 shareholder-return plan does not itself replace the existing specific buyback authorization.</x:v>
      </x:c>
      <x:c r="J19" s="39" t="str">
        <x:v>https://ir.hworld.com/zh-hans/news-releases/news-release-details/huazhujituanyouxiangongsichengbao2026niandierjiducaiwuyeji</x:v>
      </x:c>
    </x:row>
    <x:row r="20">
      <x:c r="A20" s="47" t="str">
        <x:v>Bilibili Inc.</x:v>
      </x:c>
      <x:c r="B20" s="47" t="str">
        <x:v>BILI</x:v>
      </x:c>
      <x:c r="C20" s="47" t="str">
        <x:v>NASDAQ GS</x:v>
      </x:c>
      <x:c r="D20" s="47" t="str">
        <x:v>Yes</x:v>
      </x:c>
      <x:c r="E20" s="47" t="str">
        <x:v>HKEX</x:v>
      </x:c>
      <x:c r="F20" s="47" t="str">
        <x:v>9626</x:v>
      </x:c>
      <x:c r="G20" s="47" t="n">
        <x:v>1</x:v>
      </x:c>
      <x:c r="H20" s="47" t="str">
        <x:v>Yes</x:v>
      </x:c>
      <x:c r="I20" s="39" t="str">
        <x:v>Active formal issuer repurchase authorization</x:v>
      </x:c>
      <x:c r="J20" s="39" t="str">
        <x:v>https://www.sec.gov/Archives/edgar/data/1723690/000119312526290468/d114903dex992.htm</x:v>
      </x:c>
    </x:row>
    <x:row r="21">
      <x:c r="A21" s="47" t="str">
        <x:v>NIO Inc.</x:v>
      </x:c>
      <x:c r="B21" s="47" t="str">
        <x:v>NIO</x:v>
      </x:c>
      <x:c r="C21" s="47" t="str">
        <x:v>NYSE</x:v>
      </x:c>
      <x:c r="D21" s="47" t="str">
        <x:v>Yes</x:v>
      </x:c>
      <x:c r="E21" s="47" t="str">
        <x:v>HKEX; SGX</x:v>
      </x:c>
      <x:c r="F21" s="47" t="str">
        <x:v>9866; NIO</x:v>
      </x:c>
      <x:c r="G21" s="47" t="n">
        <x:v>0</x:v>
      </x:c>
      <x:c r="H21" s="47" t="str">
        <x:v>No</x:v>
      </x:c>
      <x:c r="I21" s="39" t="str">
        <x:v>No specific active issuer repurchase authorization identified in latest annual filing.</x:v>
      </x:c>
      <x:c r="J21" s="39" t="str">
        <x:v>https://www.sec.gov/Archives/edgar/data/1736541/000110465926041765/nio-20251231x20f.htm</x:v>
      </x:c>
    </x:row>
    <x:row r="22">
      <x:c r="A22" s="47" t="str">
        <x:v>Vipshop Holdings Limited</x:v>
      </x:c>
      <x:c r="B22" s="47" t="str">
        <x:v>VIPS</x:v>
      </x:c>
      <x:c r="C22" s="47" t="str">
        <x:v>NYSE</x:v>
      </x:c>
      <x:c r="D22" s="47" t="str">
        <x:v>No</x:v>
      </x:c>
      <x:c r="E22" s="47"/>
      <x:c r="F22" s="47"/>
      <x:c r="G22" s="47" t="n">
        <x:v>1</x:v>
      </x:c>
      <x:c r="H22" s="47" t="str">
        <x:v>Yes</x:v>
      </x:c>
      <x:c r="I22" s="39" t="str">
        <x:v>Active formal issuer repurchase authorization</x:v>
      </x:c>
      <x:c r="J22" s="39" t="str">
        <x:v>https://ir.vip.com/news-releases/news-release-details/vipshop-reports-unaudited-fourth-quarter-and-full-year-2025</x:v>
      </x:c>
    </x:row>
    <x:row r="23">
      <x:c r="A23" s="47" t="str">
        <x:v>TAL Education Group</x:v>
      </x:c>
      <x:c r="B23" s="47" t="str">
        <x:v>TAL</x:v>
      </x:c>
      <x:c r="C23" s="47" t="str">
        <x:v>NYSE</x:v>
      </x:c>
      <x:c r="D23" s="47" t="str">
        <x:v>No</x:v>
      </x:c>
      <x:c r="E23" s="47"/>
      <x:c r="F23" s="47"/>
      <x:c r="G23" s="47" t="n">
        <x:v>1</x:v>
      </x:c>
      <x:c r="H23" s="47" t="str">
        <x:v>Yes</x:v>
      </x:c>
      <x:c r="I23" s="39" t="str">
        <x:v>Active formal issuer repurchase authorization, extended through 28-Jul-2027.</x:v>
      </x:c>
      <x:c r="J23" s="39" t="str">
        <x:v>https://ir.tal.com/2026-07-30-TAL-Education-Group-Announces-Unaudited-Financial-Results-for-the-First-Fiscal-Quarter-Ended-May-31%2C-2026</x:v>
      </x:c>
    </x:row>
    <x:row r="24">
      <x:c r="A24" s="47" t="str">
        <x:v>New Oriental Education &amp; Technology Group Inc.</x:v>
      </x:c>
      <x:c r="B24" s="47" t="str">
        <x:v>EDU</x:v>
      </x:c>
      <x:c r="C24" s="47" t="str">
        <x:v>NYSE</x:v>
      </x:c>
      <x:c r="D24" s="47" t="str">
        <x:v>Yes</x:v>
      </x:c>
      <x:c r="E24" s="47" t="str">
        <x:v>HKEX</x:v>
      </x:c>
      <x:c r="F24" s="47" t="str">
        <x:v>9901</x:v>
      </x:c>
      <x:c r="G24" s="47" t="n">
        <x:v>2</x:v>
      </x:c>
      <x:c r="H24" s="47" t="str">
        <x:v>Yes</x:v>
      </x:c>
      <x:c r="I24" s="39" t="str">
        <x:v>Two active formal share repurchase programs (FY2026 program still running and new FY2027 program).</x:v>
      </x:c>
      <x:c r="J24" s="39" t="str">
        <x:v>https://www.sec.gov/Archives/edgar/data/1372920/000119312526322173/d148153dex991.htm</x:v>
      </x:c>
    </x:row>
    <x:row r="25">
      <x:c r="A25" s="47" t="str">
        <x:v>KANZHUN LIMITED</x:v>
      </x:c>
      <x:c r="B25" s="47" t="str">
        <x:v>BZ</x:v>
      </x:c>
      <x:c r="C25" s="47" t="str">
        <x:v>NASDAQ GS</x:v>
      </x:c>
      <x:c r="D25" s="47" t="str">
        <x:v>Yes</x:v>
      </x:c>
      <x:c r="E25" s="47" t="str">
        <x:v>HKEX</x:v>
      </x:c>
      <x:c r="F25" s="47" t="str">
        <x:v>2076</x:v>
      </x:c>
      <x:c r="G25" s="47" t="n">
        <x:v>1</x:v>
      </x:c>
      <x:c r="H25" s="47" t="str">
        <x:v>Yes</x:v>
      </x:c>
      <x:c r="I25" s="39" t="str">
        <x:v>Active formal issuer repurchase authorization</x:v>
      </x:c>
      <x:c r="J25" s="39" t="str">
        <x:v>https://www.globenewswire.com/news-release/2026/07/01/3320480/0/en/boss-zhipin-s-ongoing-share-repurchases-reach-over-rmb2-06-billion-in-1h2026.html</x:v>
      </x:c>
    </x:row>
    <x:row r="26">
      <x:c r="A26" s="47" t="str">
        <x:v>GDS Holdings Limited</x:v>
      </x:c>
      <x:c r="B26" s="47" t="str">
        <x:v>GDS</x:v>
      </x:c>
      <x:c r="C26" s="47" t="str">
        <x:v>NASDAQ GM</x:v>
      </x:c>
      <x:c r="D26" s="47" t="str">
        <x:v>Yes</x:v>
      </x:c>
      <x:c r="E26" s="47" t="str">
        <x:v>HKEX</x:v>
      </x:c>
      <x:c r="F26" s="47" t="str">
        <x:v>9698</x:v>
      </x:c>
      <x:c r="G26" s="47" t="n">
        <x:v>0</x:v>
      </x:c>
      <x:c r="H26" s="47" t="str">
        <x:v>No</x:v>
      </x:c>
      <x:c r="I26" s="39" t="str">
        <x:v>No specific active issuer repurchase authorization identified in latest annual filing.</x:v>
      </x:c>
      <x:c r="J26" s="39" t="str">
        <x:v>https://www.sec.gov/Archives/edgar/data/1526125/000110465926051006/gds-20251231x20f.htm</x:v>
      </x:c>
    </x:row>
    <x:row r="27">
      <x:c r="A27" s="47" t="str">
        <x:v>Qfin Holdings, Inc.</x:v>
      </x:c>
      <x:c r="B27" s="47" t="str">
        <x:v>QFIN</x:v>
      </x:c>
      <x:c r="C27" s="47" t="str">
        <x:v>NASDAQ GS</x:v>
      </x:c>
      <x:c r="D27" s="47" t="str">
        <x:v>Yes</x:v>
      </x:c>
      <x:c r="E27" s="47" t="str">
        <x:v>HKEX</x:v>
      </x:c>
      <x:c r="F27" s="47" t="str">
        <x:v>3660</x:v>
      </x:c>
      <x:c r="G27" s="47" t="n">
        <x:v>1</x:v>
      </x:c>
      <x:c r="H27" s="47" t="str">
        <x:v>Yes</x:v>
      </x:c>
      <x:c r="I27" s="39" t="str">
        <x:v>Active March-2025 repurchase plan. Fixed board cap is not stated; economic capacity is disclosed through note proceeds / remaining capacity.</x:v>
      </x:c>
      <x:c r="J27" s="39" t="str">
        <x:v>https://www.sec.gov/Archives/edgar/data/1741530/000110465926049501/qfin-20251231x20f.htm</x:v>
      </x:c>
    </x:row>
    <x:row r="28">
      <x:c r="A28" s="47" t="str">
        <x:v>MINISO Group Holding Limited</x:v>
      </x:c>
      <x:c r="B28" s="47" t="str">
        <x:v>MNSO</x:v>
      </x:c>
      <x:c r="C28" s="47" t="str">
        <x:v>NYSE</x:v>
      </x:c>
      <x:c r="D28" s="47" t="str">
        <x:v>Yes</x:v>
      </x:c>
      <x:c r="E28" s="47" t="str">
        <x:v>HKEX</x:v>
      </x:c>
      <x:c r="F28" s="47" t="str">
        <x:v>9896</x:v>
      </x:c>
      <x:c r="G28" s="47" t="n">
        <x:v>1</x:v>
      </x:c>
      <x:c r="H28" s="47" t="str">
        <x:v>Yes</x:v>
      </x:c>
      <x:c r="I28" s="39" t="str">
        <x:v>Active formal issuer repurchase authorization</x:v>
      </x:c>
      <x:c r="J28" s="39" t="str">
        <x:v>https://www.sec.gov/Archives/edgar/data/1815846/000110465926079051/tm2619282d1_ex99-1.htm</x:v>
      </x:c>
    </x:row>
    <x:row r="29">
      <x:c r="A29" s="47" t="str">
        <x:v>Pony AI Inc.</x:v>
      </x:c>
      <x:c r="B29" s="47" t="str">
        <x:v>PONY</x:v>
      </x:c>
      <x:c r="C29" s="47" t="str">
        <x:v>NASDAQ GS</x:v>
      </x:c>
      <x:c r="D29" s="47" t="str">
        <x:v>Yes</x:v>
      </x:c>
      <x:c r="E29" s="47" t="str">
        <x:v>HKEX</x:v>
      </x:c>
      <x:c r="F29" s="47" t="str">
        <x:v>2026</x:v>
      </x:c>
      <x:c r="G29" s="47" t="n">
        <x:v>0</x:v>
      </x:c>
      <x:c r="H29" s="47" t="str">
        <x:v>No</x:v>
      </x:c>
      <x:c r="I29" s="39" t="str">
        <x:v>No specific active economic repurchase program identified; general HKEX repurchase mandate only.</x:v>
      </x:c>
      <x:c r="J29" s="39" t="str">
        <x:v>https://www.sec.gov/Archives/edgar/data/1969302/000110465926046406/pony-20251231x20f.htm</x:v>
      </x:c>
    </x:row>
    <x:row r="30">
      <x:c r="A30" s="47" t="str">
        <x:v>WeRide Inc.</x:v>
      </x:c>
      <x:c r="B30" s="47" t="str">
        <x:v>WRD</x:v>
      </x:c>
      <x:c r="C30" s="47" t="str">
        <x:v>NASDAQ GM</x:v>
      </x:c>
      <x:c r="D30" s="47" t="str">
        <x:v>Yes</x:v>
      </x:c>
      <x:c r="E30" s="47" t="str">
        <x:v>HKEX</x:v>
      </x:c>
      <x:c r="F30" s="47" t="str">
        <x:v>0800</x:v>
      </x:c>
      <x:c r="G30" s="47" t="n">
        <x:v>1</x:v>
      </x:c>
      <x:c r="H30" s="47" t="str">
        <x:v>Yes</x:v>
      </x:c>
      <x:c r="I30" s="39" t="str">
        <x:v>Active formal issuer repurchase authorization; almost fully utilized at latest reported date.</x:v>
      </x:c>
      <x:c r="J30" s="39" t="str">
        <x:v>https://ir.weride.ai/static-files/605ededd-c1a7-4a58-822f-8e5b3035cf1f</x:v>
      </x:c>
    </x:row>
    <x:row r="31">
      <x:c r="A31" s="47" t="str">
        <x:v>Kingsoft Cloud Holdings Limited</x:v>
      </x:c>
      <x:c r="B31" s="47" t="str">
        <x:v>KC</x:v>
      </x:c>
      <x:c r="C31" s="47" t="str">
        <x:v>NASDAQ GS</x:v>
      </x:c>
      <x:c r="D31" s="47" t="str">
        <x:v>Yes</x:v>
      </x:c>
      <x:c r="E31" s="47" t="str">
        <x:v>HKEX</x:v>
      </x:c>
      <x:c r="F31" s="47" t="str">
        <x:v>3896</x:v>
      </x:c>
      <x:c r="G31" s="47" t="n">
        <x:v>0</x:v>
      </x:c>
      <x:c r="H31" s="47" t="str">
        <x:v>No</x:v>
      </x:c>
      <x:c r="I31" s="39" t="str">
        <x:v>No current specific program identified; prior 2022 plan was terminated in Dec-2022. General mandate excluded.</x:v>
      </x:c>
      <x:c r="J31" s="39" t="str">
        <x:v>https://ksyun.gcs-web.com/static-files/1c57d35a-a3d1-48e1-ba85-501ad84500a4</x:v>
      </x:c>
    </x:row>
    <x:row r="32">
      <x:c r="A32" s="47" t="str">
        <x:v>Atour Lifestyle Holdings Limited</x:v>
      </x:c>
      <x:c r="B32" s="47" t="str">
        <x:v>ATAT</x:v>
      </x:c>
      <x:c r="C32" s="47" t="str">
        <x:v>NASDAQ GS</x:v>
      </x:c>
      <x:c r="D32" s="47" t="str">
        <x:v>No</x:v>
      </x:c>
      <x:c r="E32" s="47"/>
      <x:c r="F32" s="47"/>
      <x:c r="G32" s="47" t="n">
        <x:v>1</x:v>
      </x:c>
      <x:c r="H32" s="47" t="str">
        <x:v>Yes</x:v>
      </x:c>
      <x:c r="I32" s="39" t="str">
        <x:v>Active formal issuer repurchase authorization</x:v>
      </x:c>
      <x:c r="J32" s="39" t="str">
        <x:v>https://ir.yaduo.com/financial-information/annual-reports/</x:v>
      </x:c>
    </x:row>
    <x:row r="33">
      <x:c r="A33" s="47" t="str">
        <x:v>Zai Lab Limited</x:v>
      </x:c>
      <x:c r="B33" s="47" t="str">
        <x:v>ZLAB</x:v>
      </x:c>
      <x:c r="C33" s="47" t="str">
        <x:v>NASDAQ GM</x:v>
      </x:c>
      <x:c r="D33" s="47" t="str">
        <x:v>Yes</x:v>
      </x:c>
      <x:c r="E33" s="47" t="str">
        <x:v>HKEX</x:v>
      </x:c>
      <x:c r="F33" s="47" t="str">
        <x:v>9688</x:v>
      </x:c>
      <x:c r="G33" s="47" t="n">
        <x:v>0</x:v>
      </x:c>
      <x:c r="H33" s="47" t="str">
        <x:v>No</x:v>
      </x:c>
      <x:c r="I33" s="39" t="str">
        <x:v>No specific active economic repurchase program identified; general mandate only.</x:v>
      </x:c>
      <x:c r="J33" s="39" t="str">
        <x:v>https://www.sec.gov/Archives/edgar/data/1704292/000170429226000030/zlab-20260428.htm</x:v>
      </x:c>
    </x:row>
    <x:row r="34">
      <x:c r="A34" s="47" t="str">
        <x:v>RLX Technology Inc.</x:v>
      </x:c>
      <x:c r="B34" s="47" t="str">
        <x:v>RLX</x:v>
      </x:c>
      <x:c r="C34" s="47" t="str">
        <x:v>NYSE</x:v>
      </x:c>
      <x:c r="D34" s="47" t="str">
        <x:v>No</x:v>
      </x:c>
      <x:c r="E34" s="47"/>
      <x:c r="F34" s="47"/>
      <x:c r="G34" s="47" t="n">
        <x:v>1</x:v>
      </x:c>
      <x:c r="H34" s="47" t="str">
        <x:v>Yes</x:v>
      </x:c>
      <x:c r="I34" s="39" t="str">
        <x:v>Active formal issuer repurchase authorization</x:v>
      </x:c>
      <x:c r="J34" s="39" t="str">
        <x:v>https://ir.relxtech.com/2025-12-31-RLX-Technology-Extends-US-500-Million-Share-Repurchase-Program</x:v>
      </x:c>
    </x:row>
    <x:row r="35">
      <x:c r="A35" s="47" t="str">
        <x:v>Autohome Inc.</x:v>
      </x:c>
      <x:c r="B35" s="47" t="str">
        <x:v>ATHM</x:v>
      </x:c>
      <x:c r="C35" s="47" t="str">
        <x:v>NYSE</x:v>
      </x:c>
      <x:c r="D35" s="47" t="str">
        <x:v>Yes</x:v>
      </x:c>
      <x:c r="E35" s="47" t="str">
        <x:v>HKEX</x:v>
      </x:c>
      <x:c r="F35" s="47" t="str">
        <x:v>2518</x:v>
      </x:c>
      <x:c r="G35" s="47" t="n">
        <x:v>1</x:v>
      </x:c>
      <x:c r="H35" s="47" t="str">
        <x:v>Yes</x:v>
      </x:c>
      <x:c r="I35" s="39" t="str">
        <x:v>Active new US$400m program; prior Mar-2026 US$200m program completed and excluded.</x:v>
      </x:c>
      <x:c r="J35" s="39" t="str">
        <x:v>https://www.prnewswire.com/news-releases/autohome-inc-announces-unaudited-second-quarter-and-interim-2026-financial-results-302856268.html</x:v>
      </x:c>
    </x:row>
    <x:row r="36">
      <x:c r="A36" s="47" t="str">
        <x:v>VNET Group, Inc.</x:v>
      </x:c>
      <x:c r="B36" s="47" t="str">
        <x:v>VNET</x:v>
      </x:c>
      <x:c r="C36" s="47" t="str">
        <x:v>NASDAQ GS</x:v>
      </x:c>
      <x:c r="D36" s="47" t="str">
        <x:v>No</x:v>
      </x:c>
      <x:c r="E36" s="47"/>
      <x:c r="F36" s="47"/>
      <x:c r="G36" s="47" t="n">
        <x:v>0</x:v>
      </x:c>
      <x:c r="H36" s="47" t="str">
        <x:v>No</x:v>
      </x:c>
      <x:c r="I36" s="39" t="str">
        <x:v>No specific active issuer repurchase authorization identified in filings reviewed.</x:v>
      </x:c>
      <x:c r="J36" s="39" t="str">
        <x:v>https://ir.vnet.com/</x:v>
      </x:c>
    </x:row>
    <x:row r="37">
      <x:c r="A37" s="47" t="str">
        <x:v>Weibo Corporation</x:v>
      </x:c>
      <x:c r="B37" s="47" t="str">
        <x:v>WB</x:v>
      </x:c>
      <x:c r="C37" s="47" t="str">
        <x:v>NASDAQ GS</x:v>
      </x:c>
      <x:c r="D37" s="47" t="str">
        <x:v>Yes</x:v>
      </x:c>
      <x:c r="E37" s="47" t="str">
        <x:v>HKEX</x:v>
      </x:c>
      <x:c r="F37" s="47" t="str">
        <x:v>9898</x:v>
      </x:c>
      <x:c r="G37" s="47" t="n">
        <x:v>1</x:v>
      </x:c>
      <x:c r="H37" s="47" t="str">
        <x:v>Yes</x:v>
      </x:c>
      <x:c r="I37" s="39" t="str">
        <x:v>Active formal issuer repurchase authorization</x:v>
      </x:c>
      <x:c r="J37" s="39" t="str">
        <x:v>https://www.sec.gov/Archives/edgar/data/1595761/000110465926047217/wb-20251231x20f.htm</x:v>
      </x:c>
    </x:row>
    <x:row r="38">
      <x:c r="A38" s="47" t="str">
        <x:v>iQIYI, Inc.</x:v>
      </x:c>
      <x:c r="B38" s="47" t="str">
        <x:v>IQ</x:v>
      </x:c>
      <x:c r="C38" s="47" t="str">
        <x:v>NASDAQ GS</x:v>
      </x:c>
      <x:c r="D38" s="47" t="str">
        <x:v>Pending</x:v>
      </x:c>
      <x:c r="E38" s="47" t="str">
        <x:v>HKEX (proposed)</x:v>
      </x:c>
      <x:c r="F38" s="47" t="str">
        <x:v>Pending</x:v>
      </x:c>
      <x:c r="G38" s="47" t="n">
        <x:v>1</x:v>
      </x:c>
      <x:c r="H38" s="47" t="str">
        <x:v>Yes</x:v>
      </x:c>
      <x:c r="I38" s="39" t="str">
        <x:v>Active formal issuer repurchase authorization. Proposed HKEX listing had not completed by 21-Aug-2026.</x:v>
      </x:c>
      <x:c r="J38" s="39" t="str">
        <x:v>https://ir.iqiyi.com/news-releases/news-release-details/iqiyi-announces-second-quarter-2026-financial-results</x:v>
      </x:c>
    </x:row>
    <x:row r="39">
      <x:c r="A39" s="47" t="str">
        <x:v>Hesai Group</x:v>
      </x:c>
      <x:c r="B39" s="47" t="str">
        <x:v>HSAI</x:v>
      </x:c>
      <x:c r="C39" s="47" t="str">
        <x:v>NASDAQ GS</x:v>
      </x:c>
      <x:c r="D39" s="47" t="str">
        <x:v>Yes</x:v>
      </x:c>
      <x:c r="E39" s="47" t="str">
        <x:v>HKEX</x:v>
      </x:c>
      <x:c r="F39" s="47" t="str">
        <x:v>2525</x:v>
      </x:c>
      <x:c r="G39" s="47" t="n">
        <x:v>0</x:v>
      </x:c>
      <x:c r="H39" s="47" t="str">
        <x:v>No</x:v>
      </x:c>
      <x:c r="I39" s="39" t="str">
        <x:v>No specific active economic repurchase program identified; general mandate only.</x:v>
      </x:c>
      <x:c r="J39" s="39" t="str">
        <x:v>https://investor.hesaitech.com/</x:v>
      </x:c>
    </x:row>
    <x:row r="40">
      <x:c r="A40" s="47" t="str">
        <x:v>ACM Research, Inc.</x:v>
      </x:c>
      <x:c r="B40" s="47" t="str">
        <x:v>ACMR</x:v>
      </x:c>
      <x:c r="C40" s="47" t="str">
        <x:v>NASDAQ GM</x:v>
      </x:c>
      <x:c r="D40" s="47" t="str">
        <x:v>No - subsidiary only</x:v>
      </x:c>
      <x:c r="E40" s="47" t="str">
        <x:v>SSE STAR (subsidiary)</x:v>
      </x:c>
      <x:c r="F40" s="47" t="str">
        <x:v>688082</x:v>
      </x:c>
      <x:c r="G40" s="47" t="n">
        <x:v>0</x:v>
      </x:c>
      <x:c r="H40" s="47" t="str">
        <x:v>No</x:v>
      </x:c>
      <x:c r="I40" s="39" t="str">
        <x:v>No active parent-issuer repurchase program identified. SSE 688082 is ACM Research (Shanghai), a subsidiary, not the same listed issuer.</x:v>
      </x:c>
      <x:c r="J40" s="39" t="str">
        <x:v>https://www.sec.gov/Archives/edgar/data/1680062/000162828026032842/0001628280-26-032842-index.htm</x:v>
      </x:c>
    </x:row>
    <x:row r="41">
      <x:c r="A41" s="47" t="str">
        <x:v>GigaCloud Technology Inc.</x:v>
      </x:c>
      <x:c r="B41" s="47" t="str">
        <x:v>GCT</x:v>
      </x:c>
      <x:c r="C41" s="47" t="str">
        <x:v>NASDAQ GM</x:v>
      </x:c>
      <x:c r="D41" s="47" t="str">
        <x:v>No</x:v>
      </x:c>
      <x:c r="E41" s="47"/>
      <x:c r="F41" s="47"/>
      <x:c r="G41" s="47" t="n">
        <x:v>1</x:v>
      </x:c>
      <x:c r="H41" s="47" t="str">
        <x:v>Yes</x:v>
      </x:c>
      <x:c r="I41" s="39" t="str">
        <x:v>Active new formal repurchase authorization; prior program terminated/replaced.</x:v>
      </x:c>
      <x:c r="J41" s="39" t="str">
        <x:v>https://investors.gigacloudtech.com/news-releases/news-release-details/gigacloud-technology-inc-announces-second-quarter-and-six-1</x:v>
      </x:c>
    </x:row>
  </x:sheetData>
  <x:mergeCells>
    <x:mergeCell ref="A1:J1"/>
    <x:mergeCell ref="A2:J2"/>
  </x:mergeCells>
  <x:conditionalFormatting sqref="H5:H41">
    <x:cfRule type="expression" dxfId="9" priority="1">
      <x:formula>H5="Yes"</x:formula>
    </x:cfRule>
    <x:cfRule type="expression" dxfId="10" priority="2">
      <x:formula>H5="No"</x:formula>
    </x:cfRule>
  </x:conditionalFormatting>
  <x:pageMargins left="0.7" right="0.7" top="0.75" bottom="0.75" header="0.3" footer="0.3"/>
  <x:tableParts count="1">
    <x:tablePart xmlns:r="http://schemas.openxmlformats.org/officeDocument/2006/relationships" r:id="R0b22c05f0b3d48fd"/>
  </x:tableParts>
</x:worksheet>
</file>

<file path=xl/worksheets/sheet5.xml><?xml version="1.0" encoding="utf-8"?>
<x:worksheet xmlns:x="http://schemas.openxmlformats.org/spreadsheetml/2006/main">
  <x:sheetFormatPr defaultRowHeight="15"/>
  <x:cols>
    <x:col min="1" max="1" width="34" hidden="0" customWidth="1"/>
    <x:col min="2" max="2" width="11" hidden="0" customWidth="1"/>
    <x:col min="3" max="3" width="9" hidden="0" customWidth="1"/>
    <x:col min="4" max="4" width="30" hidden="0" customWidth="1"/>
    <x:col min="5" max="5" width="14" hidden="0" customWidth="1"/>
    <x:col min="6" max="6" width="35" hidden="0" customWidth="1"/>
    <x:col min="7" max="7" width="65" hidden="0" customWidth="1"/>
    <x:col min="8" max="8" width="80" hidden="0" customWidth="1"/>
    <x:col min="9" max="9" width="14" hidden="0" customWidth="1"/>
  </x:cols>
  <x:sheetData>
    <x:row r="1">
      <x:c r="A1" s="4" t="str">
        <x:v>Source Log — Primary Evidence Used in Workbook</x:v>
      </x:c>
      <x:c r="B1" s="4"/>
      <x:c r="C1" s="4"/>
      <x:c r="D1" s="4"/>
      <x:c r="E1" s="4"/>
      <x:c r="F1" s="4"/>
      <x:c r="G1" s="4"/>
      <x:c r="H1" s="4"/>
      <x:c r="I1" s="4"/>
    </x:row>
    <x:row r="2">
      <x:c r="A2" s="43" t="str">
        <x:v>URLs are intentionally stored as plain text. The log separates authorization evidence from execution/capacity evidence and also records the primary review source for firms classified as having no active specific program.</x:v>
      </x:c>
      <x:c r="B2" s="43"/>
      <x:c r="C2" s="43"/>
      <x:c r="D2" s="43"/>
      <x:c r="E2" s="43"/>
      <x:c r="F2" s="43"/>
      <x:c r="G2" s="43"/>
      <x:c r="H2" s="43"/>
      <x:c r="I2" s="43"/>
    </x:row>
    <x:row r="4">
      <x:c r="A4" s="11" t="str">
        <x:v>Company</x:v>
      </x:c>
      <x:c r="B4" s="11" t="str">
        <x:v>US Ticker</x:v>
      </x:c>
      <x:c r="C4" s="11" t="str">
        <x:v>Program #</x:v>
      </x:c>
      <x:c r="D4" s="11" t="str">
        <x:v>Source Role</x:v>
      </x:c>
      <x:c r="E4" s="11" t="str">
        <x:v>Relevant Date</x:v>
      </x:c>
      <x:c r="F4" s="11" t="str">
        <x:v>Source / Filing Type</x:v>
      </x:c>
      <x:c r="G4" s="11" t="str">
        <x:v>URL</x:v>
      </x:c>
      <x:c r="H4" s="11" t="str">
        <x:v>What It Supports</x:v>
      </x:c>
      <x:c r="I4" s="11" t="str">
        <x:v>Evidence Quality</x:v>
      </x:c>
    </x:row>
    <x:row r="5">
      <x:c r="A5" s="47" t="str">
        <x:v>Alibaba Group Holding Ltd</x:v>
      </x:c>
      <x:c r="B5" s="47" t="str">
        <x:v>BABA</x:v>
      </x:c>
      <x:c r="C5" s="47" t="n">
        <x:v>1</x:v>
      </x:c>
      <x:c r="D5" s="47" t="str">
        <x:v>Program authorization / amendment</x:v>
      </x:c>
      <x:c r="E5" s="50" t="n">
        <x:v>45329</x:v>
      </x:c>
      <x:c r="F5" s="47" t="str">
        <x:v>Announcement / filing</x:v>
      </x:c>
      <x:c r="G5" s="47" t="str">
        <x:v>https://www.sec.gov/Archives/edgar/data/1577552/000110465924011604/tm245446d1_ex99-1.htm</x:v>
      </x:c>
      <x:c r="H5" s="39" t="str">
        <x:v>US$25bn upsize; aggregate authorization became US$35.3bn through Mar-2027.</x:v>
      </x:c>
      <x:c r="I5" s="47" t="str">
        <x:v>B</x:v>
      </x:c>
    </x:row>
    <x:row r="6">
      <x:c r="A6" s="47" t="str">
        <x:v>Alibaba Group Holding Ltd</x:v>
      </x:c>
      <x:c r="B6" s="47" t="str">
        <x:v>BABA</x:v>
      </x:c>
      <x:c r="C6" s="47" t="n">
        <x:v>1</x:v>
      </x:c>
      <x:c r="D6" s="47" t="str">
        <x:v>Latest execution / capacity evidence</x:v>
      </x:c>
      <x:c r="E6" s="50" t="n">
        <x:v>46254</x:v>
      </x:c>
      <x:c r="F6" s="47" t="str">
        <x:v>June quarter 2026 results + FY2026 annual report cross-check</x:v>
      </x:c>
      <x:c r="G6" s="47" t="str">
        <x:v>https://data.alibabagroup.com/ecms-files/1532295521/fa5d65fc-9b3e-4e82-a8fc-4ce1c3e2c407/Alibaba%20Group%20Announces%20June%20Quarter%202026%20Results.pdf</x:v>
      </x:c>
      <x:c r="H6" s="39" t="str">
        <x:v>US$35.3bn authorization less US$19.1bn remaining at 30-Sep-2025 plus US$162m June-quarter 2026 repurchases. FY2026 annual report shows no Oct-2025–Mar-2026 repurchases, avoiding double count.</x:v>
      </x:c>
      <x:c r="I6" s="47" t="str">
        <x:v>B</x:v>
      </x:c>
    </x:row>
    <x:row r="7">
      <x:c r="A7" s="47" t="str">
        <x:v>Alibaba Group Holding Ltd</x:v>
      </x:c>
      <x:c r="B7" s="47" t="str">
        <x:v>BABA</x:v>
      </x:c>
      <x:c r="C7" s="47" t="n">
        <x:v>1</x:v>
      </x:c>
      <x:c r="D7" s="47" t="str">
        <x:v>Execution evidence</x:v>
      </x:c>
      <x:c r="E7" s="50" t="n">
        <x:v>46203</x:v>
      </x:c>
      <x:c r="F7" s="47" t="str">
        <x:v>Execution evidence / filing</x:v>
      </x:c>
      <x:c r="G7" s="47" t="str">
        <x:v>https://home.alibabagroup.com/en-US/document-1910550772471300096</x:v>
      </x:c>
      <x:c r="H7" s="39" t="str">
        <x:v>Calculated from disclosed remaining capacity; latest-quarter purchase added</x:v>
      </x:c>
      <x:c r="I7" s="47" t="str">
        <x:v>B</x:v>
      </x:c>
    </x:row>
    <x:row r="8">
      <x:c r="A8" s="47" t="str">
        <x:v>NetEase, Inc.</x:v>
      </x:c>
      <x:c r="B8" s="47" t="str">
        <x:v>NTES</x:v>
      </x:c>
      <x:c r="C8" s="47" t="n">
        <x:v>1</x:v>
      </x:c>
      <x:c r="D8" s="47" t="str">
        <x:v>Program authorization / amendment</x:v>
      </x:c>
      <x:c r="E8" s="50" t="n">
        <x:v>45981</x:v>
      </x:c>
      <x:c r="F8" s="47" t="str">
        <x:v>Announcement / filing</x:v>
      </x:c>
      <x:c r="G8" s="47" t="str">
        <x:v>https://ir.netease.com/news-releases/news-release-details/netease-announces-third-quarter-2025-unaudited-financial-results</x:v>
      </x:c>
      <x:c r="H8" s="39" t="str">
        <x:v>Existing US$5.0bn program extended for another 36 months.</x:v>
      </x:c>
      <x:c r="I8" s="47" t="str">
        <x:v>A</x:v>
      </x:c>
    </x:row>
    <x:row r="9">
      <x:c r="A9" s="47" t="str">
        <x:v>NetEase, Inc.</x:v>
      </x:c>
      <x:c r="B9" s="47" t="str">
        <x:v>NTES</x:v>
      </x:c>
      <x:c r="C9" s="47" t="n">
        <x:v>1</x:v>
      </x:c>
      <x:c r="D9" s="47" t="str">
        <x:v>Latest execution / capacity evidence</x:v>
      </x:c>
      <x:c r="E9" s="50" t="n">
        <x:v>46254</x:v>
      </x:c>
      <x:c r="F9" s="47" t="str">
        <x:v>Q2 / H1 2026 results</x:v>
      </x:c>
      <x:c r="G9" s="47" t="str">
        <x:v>https://www.prnewswire.com/news-releases/netease-announces-second-quarter-and-interim-2026-unaudited-financial-results-302856259.html</x:v>
      </x:c>
      <x:c r="H9" s="39" t="str">
        <x:v>Company disclosed approximately 24.8m ADSs repurchased for approximately US$2.3bn cumulatively as of 30-Jun-2026.</x:v>
      </x:c>
      <x:c r="I9" s="47" t="str">
        <x:v>A</x:v>
      </x:c>
    </x:row>
    <x:row r="10">
      <x:c r="A10" s="47" t="str">
        <x:v>NetEase, Inc.</x:v>
      </x:c>
      <x:c r="B10" s="47" t="str">
        <x:v>NTES</x:v>
      </x:c>
      <x:c r="C10" s="47" t="n">
        <x:v>1</x:v>
      </x:c>
      <x:c r="D10" s="47" t="str">
        <x:v>Execution evidence</x:v>
      </x:c>
      <x:c r="E10" s="50" t="n">
        <x:v>46203</x:v>
      </x:c>
      <x:c r="F10" s="47" t="str">
        <x:v>Execution evidence / filing</x:v>
      </x:c>
      <x:c r="G10" s="47" t="str">
        <x:v>https://www.prnewswire.com/news-releases/netease-announces-second-quarter-and-interim-2026-unaudited-financial-results-302856259.html</x:v>
      </x:c>
      <x:c r="H10" s="39" t="str">
        <x:v>Company-disclosed cumulative program spend</x:v>
      </x:c>
      <x:c r="I10" s="47" t="str">
        <x:v>A</x:v>
      </x:c>
    </x:row>
    <x:row r="11">
      <x:c r="A11" s="47" t="str">
        <x:v>JD.com, Inc.</x:v>
      </x:c>
      <x:c r="B11" s="47" t="str">
        <x:v>JD</x:v>
      </x:c>
      <x:c r="C11" s="47" t="n">
        <x:v>1</x:v>
      </x:c>
      <x:c r="D11" s="47" t="str">
        <x:v>Program authorization / amendment</x:v>
      </x:c>
      <x:c r="E11" s="50" t="n">
        <x:v>45531</x:v>
      </x:c>
      <x:c r="F11" s="47" t="str">
        <x:v>Announcement / filing</x:v>
      </x:c>
      <x:c r="G11" s="47" t="str">
        <x:v>https://ir.jd.com/zh-hans/news-releases/news-release-details/jdcom-announces-us50-billion-new-share-repurchase-program</x:v>
      </x:c>
      <x:c r="H11" s="39" t="str">
        <x:v>New US$5.0bn program, effective Sep-2024 through end-Aug-2027.</x:v>
      </x:c>
      <x:c r="I11" s="47" t="str">
        <x:v>A</x:v>
      </x:c>
    </x:row>
    <x:row r="12">
      <x:c r="A12" s="47" t="str">
        <x:v>JD.com, Inc.</x:v>
      </x:c>
      <x:c r="B12" s="47" t="str">
        <x:v>JD</x:v>
      </x:c>
      <x:c r="C12" s="47" t="n">
        <x:v>1</x:v>
      </x:c>
      <x:c r="D12" s="47" t="str">
        <x:v>Latest execution / capacity evidence</x:v>
      </x:c>
      <x:c r="E12" s="50" t="n">
        <x:v>46247</x:v>
      </x:c>
      <x:c r="F12" s="47" t="str">
        <x:v>Q2 / interim 2026 results</x:v>
      </x:c>
      <x:c r="G12" s="47" t="str">
        <x:v>https://ir.jd.com/news-releases/news-release-details/jdcom-announces-second-quarter-and-interim-2026-results</x:v>
      </x:c>
      <x:c r="H12" s="39" t="str">
        <x:v>US$1.0bn remaining at 30-Jun-2026 implies US$4.0bn executed. 91.6m ADS-equivalent in 2025 plus 34.9m in H1-2026.</x:v>
      </x:c>
      <x:c r="I12" s="47" t="str">
        <x:v>A</x:v>
      </x:c>
    </x:row>
    <x:row r="13">
      <x:c r="A13" s="47" t="str">
        <x:v>JD.com, Inc.</x:v>
      </x:c>
      <x:c r="B13" s="47" t="str">
        <x:v>JD</x:v>
      </x:c>
      <x:c r="C13" s="47" t="n">
        <x:v>1</x:v>
      </x:c>
      <x:c r="D13" s="47" t="str">
        <x:v>Execution evidence</x:v>
      </x:c>
      <x:c r="E13" s="50" t="n">
        <x:v>46203</x:v>
      </x:c>
      <x:c r="F13" s="47" t="str">
        <x:v>Execution evidence / filing</x:v>
      </x:c>
      <x:c r="G13" s="47" t="str">
        <x:v>https://ir.jd.com/news-releases/news-release-details/jdcom-announces-second-quarter-and-interim-2026-results</x:v>
      </x:c>
      <x:c r="H13" s="39" t="str">
        <x:v>Calculated from company-disclosed remaining authorization; share count accumulated from disclosed periods</x:v>
      </x:c>
      <x:c r="I13" s="47" t="str">
        <x:v>A</x:v>
      </x:c>
    </x:row>
    <x:row r="14">
      <x:c r="A14" s="47" t="str">
        <x:v>Trip.com Group Ltd</x:v>
      </x:c>
      <x:c r="B14" s="47" t="str">
        <x:v>TCOM</x:v>
      </x:c>
      <x:c r="C14" s="47" t="n">
        <x:v>1</x:v>
      </x:c>
      <x:c r="D14" s="47" t="str">
        <x:v>Program authorization / amendment</x:v>
      </x:c>
      <x:c r="E14" s="50" t="n">
        <x:v>45896</x:v>
      </x:c>
      <x:c r="F14" s="47" t="str">
        <x:v>Announcement / filing</x:v>
      </x:c>
      <x:c r="G14" s="47" t="str">
        <x:v>https://www.sec.gov/Archives/edgar/data/1269238/000119312525190294/d908311dex991.htm</x:v>
      </x:c>
      <x:c r="H14" s="39" t="str">
        <x:v>New multi-year repurchase authorization up to US$5.0bn; no set expiration date.</x:v>
      </x:c>
      <x:c r="I14" s="47" t="str">
        <x:v>B</x:v>
      </x:c>
    </x:row>
    <x:row r="15">
      <x:c r="A15" s="47" t="str">
        <x:v>Trip.com Group Ltd</x:v>
      </x:c>
      <x:c r="B15" s="47" t="str">
        <x:v>TCOM</x:v>
      </x:c>
      <x:c r="C15" s="47" t="n">
        <x:v>1</x:v>
      </x:c>
      <x:c r="D15" s="47" t="str">
        <x:v>Latest execution / capacity evidence</x:v>
      </x:c>
      <x:c r="E15" s="50" t="n">
        <x:v>46140</x:v>
      </x:c>
      <x:c r="F15" s="47" t="str">
        <x:v>2025 Form 20-F</x:v>
      </x:c>
      <x:c r="G15" s="47" t="str">
        <x:v>https://www.sec.gov/Archives/edgar/data/1269238/000119312526183379/d27369d20f.htm</x:v>
      </x:c>
      <x:c r="H15" s="39" t="str">
        <x:v>Issuer disclosed approximately US$5.068bn of aggregate unused capacity across active plans at 31-Dec-2025; it did not allocate the balance between the 2025 authorization and legacy 2014 plan.</x:v>
      </x:c>
      <x:c r="I15" s="47" t="str">
        <x:v>B</x:v>
      </x:c>
    </x:row>
    <x:row r="16">
      <x:c r="A16" s="47" t="str">
        <x:v>Trip.com Group Ltd</x:v>
      </x:c>
      <x:c r="B16" s="47" t="str">
        <x:v>TCOM</x:v>
      </x:c>
      <x:c r="C16" s="47" t="n">
        <x:v>1</x:v>
      </x:c>
      <x:c r="D16" s="47" t="str">
        <x:v>Execution evidence</x:v>
      </x:c>
      <x:c r="E16" s="50" t="n">
        <x:v>46022</x:v>
      </x:c>
      <x:c r="F16" s="47" t="str">
        <x:v>Execution evidence / filing</x:v>
      </x:c>
      <x:c r="G16" s="47" t="str">
        <x:v>https://www.sec.gov/Archives/edgar/data/1269238/000119312526183379/d27369d20f.htm</x:v>
      </x:c>
      <x:c r="H16" s="39" t="str">
        <x:v>Per-program execution not separable in latest annual report</x:v>
      </x:c>
      <x:c r="I16" s="47" t="str">
        <x:v>B</x:v>
      </x:c>
    </x:row>
    <x:row r="17">
      <x:c r="A17" s="47" t="str">
        <x:v>Trip.com Group Ltd</x:v>
      </x:c>
      <x:c r="B17" s="47" t="str">
        <x:v>TCOM</x:v>
      </x:c>
      <x:c r="C17" s="47" t="n">
        <x:v>2</x:v>
      </x:c>
      <x:c r="D17" s="47" t="str">
        <x:v>Program authorization / amendment</x:v>
      </x:c>
      <x:c r="E17" s="50" t="n">
        <x:v>41732</x:v>
      </x:c>
      <x:c r="F17" s="47" t="str">
        <x:v>Announcement / filing</x:v>
      </x:c>
      <x:c r="G17" s="47" t="str">
        <x:v>https://investors.trip.com/static-files/1b201c7a-d3f4-4f77-b415-cac7e175942c</x:v>
      </x:c>
      <x:c r="H17" s="39" t="str">
        <x:v>Legacy 2014 Repurchase Plan, up to US$600m ADSs; no fixed expiry disclosed.</x:v>
      </x:c>
      <x:c r="I17" s="47" t="str">
        <x:v>B</x:v>
      </x:c>
    </x:row>
    <x:row r="18">
      <x:c r="A18" s="47" t="str">
        <x:v>Trip.com Group Ltd</x:v>
      </x:c>
      <x:c r="B18" s="47" t="str">
        <x:v>TCOM</x:v>
      </x:c>
      <x:c r="C18" s="47" t="n">
        <x:v>2</x:v>
      </x:c>
      <x:c r="D18" s="47" t="str">
        <x:v>Latest execution / capacity evidence</x:v>
      </x:c>
      <x:c r="E18" s="50" t="n">
        <x:v>46140</x:v>
      </x:c>
      <x:c r="F18" s="47" t="str">
        <x:v>2025 Form 20-F</x:v>
      </x:c>
      <x:c r="G18" s="47" t="str">
        <x:v>https://www.sec.gov/Archives/edgar/data/1269238/000119312526183379/d27369d20f.htm</x:v>
      </x:c>
      <x:c r="H18" s="39" t="str">
        <x:v>Legacy plan remains referenced with residual capacity, but latest issuer reporting aggregates remaining capacity with the newer US$5.0bn authorization.</x:v>
      </x:c>
      <x:c r="I18" s="47" t="str">
        <x:v>B</x:v>
      </x:c>
    </x:row>
    <x:row r="19">
      <x:c r="A19" s="47" t="str">
        <x:v>Trip.com Group Ltd</x:v>
      </x:c>
      <x:c r="B19" s="47" t="str">
        <x:v>TCOM</x:v>
      </x:c>
      <x:c r="C19" s="47" t="n">
        <x:v>2</x:v>
      </x:c>
      <x:c r="D19" s="47" t="str">
        <x:v>Execution evidence</x:v>
      </x:c>
      <x:c r="E19" s="50" t="n">
        <x:v>46022</x:v>
      </x:c>
      <x:c r="F19" s="47" t="str">
        <x:v>Execution evidence / filing</x:v>
      </x:c>
      <x:c r="G19" s="47" t="str">
        <x:v>https://www.sec.gov/Archives/edgar/data/1269238/000119312526183379/d27369d20f.htm</x:v>
      </x:c>
      <x:c r="H19" s="39" t="str">
        <x:v>Per-program execution not separable in latest annual report</x:v>
      </x:c>
      <x:c r="I19" s="47" t="str">
        <x:v>B</x:v>
      </x:c>
    </x:row>
    <x:row r="20">
      <x:c r="A20" s="47" t="str">
        <x:v>Baidu, Inc.</x:v>
      </x:c>
      <x:c r="B20" s="47" t="str">
        <x:v>BIDU</x:v>
      </x:c>
      <x:c r="C20" s="47" t="n">
        <x:v>1</x:v>
      </x:c>
      <x:c r="D20" s="47" t="str">
        <x:v>Program authorization / amendment</x:v>
      </x:c>
      <x:c r="E20" s="50" t="n">
        <x:v>46057</x:v>
      </x:c>
      <x:c r="F20" s="47" t="str">
        <x:v>Announcement / filing</x:v>
      </x:c>
      <x:c r="G20" s="47" t="str">
        <x:v>https://baidu.gcs-web.com/</x:v>
      </x:c>
      <x:c r="H20" s="39" t="str">
        <x:v>New US$5.0bn repurchase program through 31-Dec-2028.</x:v>
      </x:c>
      <x:c r="I20" s="47" t="str">
        <x:v>A</x:v>
      </x:c>
    </x:row>
    <x:row r="21">
      <x:c r="A21" s="47" t="str">
        <x:v>Baidu, Inc.</x:v>
      </x:c>
      <x:c r="B21" s="47" t="str">
        <x:v>BIDU</x:v>
      </x:c>
      <x:c r="C21" s="47" t="n">
        <x:v>1</x:v>
      </x:c>
      <x:c r="D21" s="47" t="str">
        <x:v>Latest execution / capacity evidence</x:v>
      </x:c>
      <x:c r="E21" s="50" t="n">
        <x:v>46252</x:v>
      </x:c>
      <x:c r="F21" s="47" t="str">
        <x:v>Q2 2026 results</x:v>
      </x:c>
      <x:c r="G21" s="47" t="str">
        <x:v>https://baidu.gcs-web.com/news-releases/news-release-details/baidu-announces-second-quarter-2026-results</x:v>
      </x:c>
      <x:c r="H21" s="39" t="str">
        <x:v>Company reported US$259m returned through repurchases under the current program since the beginning of Q1-2026.</x:v>
      </x:c>
      <x:c r="I21" s="47" t="str">
        <x:v>A</x:v>
      </x:c>
    </x:row>
    <x:row r="22">
      <x:c r="A22" s="47" t="str">
        <x:v>Baidu, Inc.</x:v>
      </x:c>
      <x:c r="B22" s="47" t="str">
        <x:v>BIDU</x:v>
      </x:c>
      <x:c r="C22" s="47" t="n">
        <x:v>1</x:v>
      </x:c>
      <x:c r="D22" s="47" t="str">
        <x:v>Execution evidence</x:v>
      </x:c>
      <x:c r="E22" s="50" t="n">
        <x:v>46203</x:v>
      </x:c>
      <x:c r="F22" s="47" t="str">
        <x:v>Execution evidence / filing</x:v>
      </x:c>
      <x:c r="G22" s="47" t="str">
        <x:v>https://baidu.gcs-web.com/news-releases/news-release-details/baidu-announces-second-quarter-2026-results</x:v>
      </x:c>
      <x:c r="H22" s="39" t="str">
        <x:v>Company-disclosed cumulative current-program spend</x:v>
      </x:c>
      <x:c r="I22" s="47" t="str">
        <x:v>A</x:v>
      </x:c>
    </x:row>
    <x:row r="23">
      <x:c r="A23" s="47" t="str">
        <x:v>Li Auto Inc.</x:v>
      </x:c>
      <x:c r="B23" s="47" t="str">
        <x:v>LI</x:v>
      </x:c>
      <x:c r="C23" s="47" t="n">
        <x:v>1</x:v>
      </x:c>
      <x:c r="D23" s="47" t="str">
        <x:v>Program authorization / amendment</x:v>
      </x:c>
      <x:c r="E23" s="50" t="n">
        <x:v>46105</x:v>
      </x:c>
      <x:c r="F23" s="47" t="str">
        <x:v>Announcement / filing</x:v>
      </x:c>
      <x:c r="G23" s="47" t="str">
        <x:v>https://www.sec.gov/Archives/edgar/data/1791706/000110465926033834/tm269693d1_ex99-1.htm</x:v>
      </x:c>
      <x:c r="H23" s="39" t="str">
        <x:v>Board authorization to repurchase up to US$1.0bn through 31-Mar-2027.</x:v>
      </x:c>
      <x:c r="I23" s="47" t="str">
        <x:v>A</x:v>
      </x:c>
    </x:row>
    <x:row r="24">
      <x:c r="A24" s="47" t="str">
        <x:v>Li Auto Inc.</x:v>
      </x:c>
      <x:c r="B24" s="47" t="str">
        <x:v>LI</x:v>
      </x:c>
      <x:c r="C24" s="47" t="n">
        <x:v>1</x:v>
      </x:c>
      <x:c r="D24" s="47" t="str">
        <x:v>Latest execution / capacity evidence</x:v>
      </x:c>
      <x:c r="E24" s="50" t="n">
        <x:v>46168</x:v>
      </x:c>
      <x:c r="F24" s="47" t="str">
        <x:v>Q1 2026 results / repurchase update</x:v>
      </x:c>
      <x:c r="G24" s="47" t="str">
        <x:v>https://ir.lixiang.com/news-releases/news-release-details/li-auto-inc-announces-unaudited-first-quarter-2026-financial/</x:v>
      </x:c>
      <x:c r="H24" s="39" t="str">
        <x:v>Company disclosed ~16.4m Class A ordinary shares, including ~6.7m ADSs, repurchased for US$139.7m as of 26-May-2026.</x:v>
      </x:c>
      <x:c r="I24" s="47" t="str">
        <x:v>A</x:v>
      </x:c>
    </x:row>
    <x:row r="25">
      <x:c r="A25" s="47" t="str">
        <x:v>Li Auto Inc.</x:v>
      </x:c>
      <x:c r="B25" s="47" t="str">
        <x:v>LI</x:v>
      </x:c>
      <x:c r="C25" s="47" t="n">
        <x:v>1</x:v>
      </x:c>
      <x:c r="D25" s="47" t="str">
        <x:v>Execution evidence</x:v>
      </x:c>
      <x:c r="E25" s="50" t="n">
        <x:v>46168</x:v>
      </x:c>
      <x:c r="F25" s="47" t="str">
        <x:v>Execution evidence / filing</x:v>
      </x:c>
      <x:c r="G25" s="47" t="str">
        <x:v>https://ir.lixiang.com/news-releases/news-release-details/li-auto-inc-announces-unaudited-first-quarter-2026-financial/</x:v>
      </x:c>
      <x:c r="H25" s="39" t="str">
        <x:v>Company-disclosed cumulative spend</x:v>
      </x:c>
      <x:c r="I25" s="47" t="str">
        <x:v>A</x:v>
      </x:c>
    </x:row>
    <x:row r="26">
      <x:c r="A26" s="47" t="str">
        <x:v>KE Holdings Inc.</x:v>
      </x:c>
      <x:c r="B26" s="47" t="str">
        <x:v>BEKE</x:v>
      </x:c>
      <x:c r="C26" s="47" t="n">
        <x:v>1</x:v>
      </x:c>
      <x:c r="D26" s="47" t="str">
        <x:v>Program authorization / amendment</x:v>
      </x:c>
      <x:c r="E26" s="50" t="n">
        <x:v>45895</x:v>
      </x:c>
      <x:c r="F26" s="47" t="str">
        <x:v>Announcement / filing</x:v>
      </x:c>
      <x:c r="G26" s="47" t="str">
        <x:v>https://investors.ke.com/news-releases/news-release-details/ke-holdings-inc-announces-second-quarter-2025-unaudited</x:v>
      </x:c>
      <x:c r="H26" s="39" t="str">
        <x:v>Existing program upsized from US$3.0bn to US$5.0bn and extended through 31-Aug-2028.</x:v>
      </x:c>
      <x:c r="I26" s="47" t="str">
        <x:v>A</x:v>
      </x:c>
    </x:row>
    <x:row r="27">
      <x:c r="A27" s="47" t="str">
        <x:v>KE Holdings Inc.</x:v>
      </x:c>
      <x:c r="B27" s="47" t="str">
        <x:v>BEKE</x:v>
      </x:c>
      <x:c r="C27" s="47" t="n">
        <x:v>1</x:v>
      </x:c>
      <x:c r="D27" s="47" t="str">
        <x:v>Latest execution / capacity evidence</x:v>
      </x:c>
      <x:c r="E27" s="50" t="n">
        <x:v>46162</x:v>
      </x:c>
      <x:c r="F27" s="47" t="str">
        <x:v>Q1 2026 results</x:v>
      </x:c>
      <x:c r="G27" s="47" t="str">
        <x:v>https://investors.ke.com/news-releases/news-release-details/ke-holdings-inc-announces-first-quarter-2026-unaudited-financial</x:v>
      </x:c>
      <x:c r="H27" s="39" t="str">
        <x:v>Company disclosed approximately 171.2m ADSs repurchased for approximately US$2,741.7m cumulatively.</x:v>
      </x:c>
      <x:c r="I27" s="47" t="str">
        <x:v>A</x:v>
      </x:c>
    </x:row>
    <x:row r="28">
      <x:c r="A28" s="47" t="str">
        <x:v>KE Holdings Inc.</x:v>
      </x:c>
      <x:c r="B28" s="47" t="str">
        <x:v>BEKE</x:v>
      </x:c>
      <x:c r="C28" s="47" t="n">
        <x:v>1</x:v>
      </x:c>
      <x:c r="D28" s="47" t="str">
        <x:v>Execution evidence</x:v>
      </x:c>
      <x:c r="E28" s="50" t="n">
        <x:v>46112</x:v>
      </x:c>
      <x:c r="F28" s="47" t="str">
        <x:v>Execution evidence / filing</x:v>
      </x:c>
      <x:c r="G28" s="47" t="str">
        <x:v>https://investors.ke.com/news-releases/news-release-details/ke-holdings-inc-announces-first-quarter-2026-unaudited-financial</x:v>
      </x:c>
      <x:c r="H28" s="39" t="str">
        <x:v>Company-disclosed cumulative program spend</x:v>
      </x:c>
      <x:c r="I28" s="47" t="str">
        <x:v>A</x:v>
      </x:c>
    </x:row>
    <x:row r="29">
      <x:c r="A29" s="47" t="str">
        <x:v>Tencent Music Entertainment Group</x:v>
      </x:c>
      <x:c r="B29" s="47" t="str">
        <x:v>TME</x:v>
      </x:c>
      <x:c r="C29" s="47" t="n">
        <x:v>1</x:v>
      </x:c>
      <x:c r="D29" s="47" t="str">
        <x:v>Program authorization / amendment</x:v>
      </x:c>
      <x:c r="E29" s="50" t="n">
        <x:v>45733</x:v>
      </x:c>
      <x:c r="F29" s="47" t="str">
        <x:v>Announcement / filing</x:v>
      </x:c>
      <x:c r="G29" s="47" t="str">
        <x:v>https://ir.tencentmusic.com/</x:v>
      </x:c>
      <x:c r="H29" s="39" t="str">
        <x:v>US$1.0bn repurchase program over two years commencing 21-Mar-2025.</x:v>
      </x:c>
      <x:c r="I29" s="47" t="str">
        <x:v>A</x:v>
      </x:c>
    </x:row>
    <x:row r="30">
      <x:c r="A30" s="47" t="str">
        <x:v>Tencent Music Entertainment Group</x:v>
      </x:c>
      <x:c r="B30" s="47" t="str">
        <x:v>TME</x:v>
      </x:c>
      <x:c r="C30" s="47" t="n">
        <x:v>1</x:v>
      </x:c>
      <x:c r="D30" s="47" t="str">
        <x:v>Latest execution / capacity evidence</x:v>
      </x:c>
      <x:c r="E30" s="50" t="n">
        <x:v>46245</x:v>
      </x:c>
      <x:c r="F30" s="47" t="str">
        <x:v>Q2 2026 results</x:v>
      </x:c>
      <x:c r="G30" s="47" t="str">
        <x:v>https://ir.tencentmusic.com/2026-08-11-Tencent-Music-Entertainment-Group-Announces-Second-Quarter-2026-Unaudited-Financial-Results</x:v>
      </x:c>
      <x:c r="H30" s="39" t="str">
        <x:v>Q2-2026 disclosure: 43.5m ADSs repurchased for ~US$400m. Q1-2026 earnings release contained no share-repurchase disclosure; 2025 annual filing showed no current-program execution through year-end.</x:v>
      </x:c>
      <x:c r="I30" s="47" t="str">
        <x:v>A</x:v>
      </x:c>
    </x:row>
    <x:row r="31">
      <x:c r="A31" s="47" t="str">
        <x:v>Tencent Music Entertainment Group</x:v>
      </x:c>
      <x:c r="B31" s="47" t="str">
        <x:v>TME</x:v>
      </x:c>
      <x:c r="C31" s="47" t="n">
        <x:v>1</x:v>
      </x:c>
      <x:c r="D31" s="47" t="str">
        <x:v>Execution evidence</x:v>
      </x:c>
      <x:c r="E31" s="50" t="n">
        <x:v>46203</x:v>
      </x:c>
      <x:c r="F31" s="47" t="str">
        <x:v>Execution evidence / filing</x:v>
      </x:c>
      <x:c r="G31" s="47" t="str">
        <x:v>https://ir.tencentmusic.com/2026-08-11-Tencent-Music-Entertainment-Group-Announces-Second-Quarter-2026-Unaudited-Financial-Results</x:v>
      </x:c>
      <x:c r="H31" s="39" t="str">
        <x:v>Company-disclosed repurchases in Q2; no Q1 repurchases disclosed in Q1 result</x:v>
      </x:c>
      <x:c r="I31" s="47" t="str">
        <x:v>A</x:v>
      </x:c>
    </x:row>
    <x:row r="32">
      <x:c r="A32" s="47" t="str">
        <x:v>Yum China Holdings, Inc.</x:v>
      </x:c>
      <x:c r="B32" s="47" t="str">
        <x:v>YUMC</x:v>
      </x:c>
      <x:c r="C32" s="47" t="n">
        <x:v>1</x:v>
      </x:c>
      <x:c r="D32" s="47" t="str">
        <x:v>Program authorization / amendment</x:v>
      </x:c>
      <x:c r="E32" s="50" t="n">
        <x:v>46002</x:v>
      </x:c>
      <x:c r="F32" s="47" t="str">
        <x:v>Announcement / filing</x:v>
      </x:c>
      <x:c r="G32" s="47" t="str">
        <x:v>https://www.sec.gov/Archives/edgar/data/1673358/000119312525316788/yumc-ex99_1.htm</x:v>
      </x:c>
      <x:c r="H32" s="39" t="str">
        <x:v>Aggregate board repurchase authorization increased by US$1.0bn to US$5.4bn; no expiration date.</x:v>
      </x:c>
      <x:c r="I32" s="47" t="str">
        <x:v>A</x:v>
      </x:c>
    </x:row>
    <x:row r="33">
      <x:c r="A33" s="47" t="str">
        <x:v>Yum China Holdings, Inc.</x:v>
      </x:c>
      <x:c r="B33" s="47" t="str">
        <x:v>YUMC</x:v>
      </x:c>
      <x:c r="C33" s="47" t="n">
        <x:v>1</x:v>
      </x:c>
      <x:c r="D33" s="47" t="str">
        <x:v>Latest execution / capacity evidence</x:v>
      </x:c>
      <x:c r="E33" s="50" t="n">
        <x:v>46244</x:v>
      </x:c>
      <x:c r="F33" s="47" t="str">
        <x:v>Q2 2026 Form 10-Q / results</x:v>
      </x:c>
      <x:c r="G33" s="47" t="str">
        <x:v>https://yumchinaholdingsinc.gcs-web.com/static-files/c309d2f1-c7e0-4750-89aa-2c4903fbd85b</x:v>
      </x:c>
      <x:c r="H33" s="39" t="str">
        <x:v>US$641m remaining at 30-Jun-2026 implies US$4.759bn cumulative execution.</x:v>
      </x:c>
      <x:c r="I33" s="47" t="str">
        <x:v>A</x:v>
      </x:c>
    </x:row>
    <x:row r="34">
      <x:c r="A34" s="47" t="str">
        <x:v>Yum China Holdings, Inc.</x:v>
      </x:c>
      <x:c r="B34" s="47" t="str">
        <x:v>YUMC</x:v>
      </x:c>
      <x:c r="C34" s="47" t="n">
        <x:v>1</x:v>
      </x:c>
      <x:c r="D34" s="47" t="str">
        <x:v>Execution evidence</x:v>
      </x:c>
      <x:c r="E34" s="50" t="n">
        <x:v>46203</x:v>
      </x:c>
      <x:c r="F34" s="47" t="str">
        <x:v>Execution evidence / filing</x:v>
      </x:c>
      <x:c r="G34" s="47" t="str">
        <x:v>https://yumchinaholdingsinc.gcs-web.com/static-files/c309d2f1-c7e0-4750-89aa-2c4903fbd85b</x:v>
      </x:c>
      <x:c r="H34" s="39" t="str">
        <x:v>Calculated from company-disclosed remaining authorization</x:v>
      </x:c>
      <x:c r="I34" s="47" t="str">
        <x:v>A</x:v>
      </x:c>
    </x:row>
    <x:row r="35">
      <x:c r="A35" s="47" t="str">
        <x:v>ZTO Express (Cayman) Inc.</x:v>
      </x:c>
      <x:c r="B35" s="47" t="str">
        <x:v>ZTO</x:v>
      </x:c>
      <x:c r="C35" s="47" t="n">
        <x:v>1</x:v>
      </x:c>
      <x:c r="D35" s="47" t="str">
        <x:v>Program authorization / amendment</x:v>
      </x:c>
      <x:c r="E35" s="50" t="n">
        <x:v>46098</x:v>
      </x:c>
      <x:c r="F35" s="47" t="str">
        <x:v>Announcement / filing</x:v>
      </x:c>
      <x:c r="G35" s="47" t="str">
        <x:v>https://zto.investorroom.com/2026-03-17-ZTO-Reports-Fourth-Quarter-2025-and-Full-Year-2025-Unaudited-Financial-Results</x:v>
      </x:c>
      <x:c r="H35" s="39" t="str">
        <x:v>New US$1.5bn program effective 20-Mar-2026 through 20-Mar-2028.</x:v>
      </x:c>
      <x:c r="I35" s="47" t="str">
        <x:v>A</x:v>
      </x:c>
    </x:row>
    <x:row r="36">
      <x:c r="A36" s="47" t="str">
        <x:v>ZTO Express (Cayman) Inc.</x:v>
      </x:c>
      <x:c r="B36" s="47" t="str">
        <x:v>ZTO</x:v>
      </x:c>
      <x:c r="C36" s="47" t="n">
        <x:v>1</x:v>
      </x:c>
      <x:c r="D36" s="47" t="str">
        <x:v>Latest execution / capacity evidence</x:v>
      </x:c>
      <x:c r="E36" s="50" t="n">
        <x:v>46252</x:v>
      </x:c>
      <x:c r="F36" s="47" t="str">
        <x:v>Q2 2026 results</x:v>
      </x:c>
      <x:c r="G36" s="47" t="str">
        <x:v>https://zto.investorroom.com/2026-08-18-ZTO-Reports-Second-Quarter-2026-Unaudited-Financial-Results</x:v>
      </x:c>
      <x:c r="H36" s="39" t="str">
        <x:v>Company disclosed 6,161,216 ADSs repurchased for US$138m under the new program by 30-Jun-2026.</x:v>
      </x:c>
      <x:c r="I36" s="47" t="str">
        <x:v>A</x:v>
      </x:c>
    </x:row>
    <x:row r="37">
      <x:c r="A37" s="47" t="str">
        <x:v>ZTO Express (Cayman) Inc.</x:v>
      </x:c>
      <x:c r="B37" s="47" t="str">
        <x:v>ZTO</x:v>
      </x:c>
      <x:c r="C37" s="47" t="n">
        <x:v>1</x:v>
      </x:c>
      <x:c r="D37" s="47" t="str">
        <x:v>Execution evidence</x:v>
      </x:c>
      <x:c r="E37" s="50" t="n">
        <x:v>46203</x:v>
      </x:c>
      <x:c r="F37" s="47" t="str">
        <x:v>Execution evidence / filing</x:v>
      </x:c>
      <x:c r="G37" s="47" t="str">
        <x:v>https://zto.investorroom.com/2026-08-18-ZTO-Reports-Second-Quarter-2026-Unaudited-Financial-Results</x:v>
      </x:c>
      <x:c r="H37" s="39" t="str">
        <x:v>Company-disclosed cumulative current-program execution</x:v>
      </x:c>
      <x:c r="I37" s="47" t="str">
        <x:v>A</x:v>
      </x:c>
    </x:row>
    <x:row r="38">
      <x:c r="A38" s="47" t="str">
        <x:v>H World Group Limited</x:v>
      </x:c>
      <x:c r="B38" s="47" t="str">
        <x:v>HTHT</x:v>
      </x:c>
      <x:c r="C38" s="47" t="n">
        <x:v>1</x:v>
      </x:c>
      <x:c r="D38" s="47" t="str">
        <x:v>Program authorization / amendment</x:v>
      </x:c>
      <x:c r="E38" s="50" t="n">
        <x:v>45496</x:v>
      </x:c>
      <x:c r="F38" s="47" t="str">
        <x:v>Announcement / filing</x:v>
      </x:c>
      <x:c r="G38" s="47" t="str">
        <x:v>https://www.sec.gov/Archives/edgar/data/1483994/000110465924091033/tm2421903d2_ex99-1.htm</x:v>
      </x:c>
      <x:c r="H38" s="39" t="str">
        <x:v>Five-year US$1.0bn ADS repurchase program, effective 21-Aug-2024.</x:v>
      </x:c>
      <x:c r="I38" s="47" t="str">
        <x:v>A</x:v>
      </x:c>
    </x:row>
    <x:row r="39">
      <x:c r="A39" s="47" t="str">
        <x:v>H World Group Limited</x:v>
      </x:c>
      <x:c r="B39" s="47" t="str">
        <x:v>HTHT</x:v>
      </x:c>
      <x:c r="C39" s="47" t="n">
        <x:v>1</x:v>
      </x:c>
      <x:c r="D39" s="47" t="str">
        <x:v>Latest execution / capacity evidence</x:v>
      </x:c>
      <x:c r="E39" s="50" t="n">
        <x:v>46251</x:v>
      </x:c>
      <x:c r="F39" s="47" t="str">
        <x:v>Q2 / H1 2026 results + 2025 Form 20-F</x:v>
      </x:c>
      <x:c r="G39" s="47" t="str">
        <x:v>https://ir.hworld.com/zh-hans/news-releases/news-release-details/huazhujituanyouxiangongsichengbao2026niandierjiducaiwuyeji</x:v>
      </x:c>
      <x:c r="H39" s="39" t="str">
        <x:v>2025 annual report showed US$846m remaining at 31-Dec-2025, i.e. US$154m cumulative execution under the current program. H1-2026 cash flow reported US$274m share-repurchase payments. Sum = US$428m.</x:v>
      </x:c>
      <x:c r="I39" s="47" t="str">
        <x:v>A</x:v>
      </x:c>
    </x:row>
    <x:row r="40">
      <x:c r="A40" s="47" t="str">
        <x:v>H World Group Limited</x:v>
      </x:c>
      <x:c r="B40" s="47" t="str">
        <x:v>HTHT</x:v>
      </x:c>
      <x:c r="C40" s="47" t="n">
        <x:v>1</x:v>
      </x:c>
      <x:c r="D40" s="47" t="str">
        <x:v>Execution evidence</x:v>
      </x:c>
      <x:c r="E40" s="50" t="n">
        <x:v>46203</x:v>
      </x:c>
      <x:c r="F40" s="47" t="str">
        <x:v>Execution evidence / filing</x:v>
      </x:c>
      <x:c r="G40" s="47" t="str">
        <x:v>https://www.sec.gov/Archives/edgar/data/1483994/000110465926048058/htht-20251231x20f.htm</x:v>
      </x:c>
      <x:c r="H40" s="39" t="str">
        <x:v>Calculated from disclosed remaining capacity at 31-Dec-2025 plus H1-2026 repurchase cash payments</x:v>
      </x:c>
      <x:c r="I40" s="47" t="str">
        <x:v>A</x:v>
      </x:c>
    </x:row>
    <x:row r="41">
      <x:c r="A41" s="47" t="str">
        <x:v>Bilibili Inc.</x:v>
      </x:c>
      <x:c r="B41" s="47" t="str">
        <x:v>BILI</x:v>
      </x:c>
      <x:c r="C41" s="47" t="n">
        <x:v>1</x:v>
      </x:c>
      <x:c r="D41" s="47" t="str">
        <x:v>Program authorization / amendment</x:v>
      </x:c>
      <x:c r="E41" s="50" t="n">
        <x:v>46197</x:v>
      </x:c>
      <x:c r="F41" s="47" t="str">
        <x:v>Announcement / filing</x:v>
      </x:c>
      <x:c r="G41" s="47" t="str">
        <x:v>https://www.sec.gov/Archives/edgar/data/1723690/000119312526280222/d26402dex991.htm</x:v>
      </x:c>
      <x:c r="H41" s="39" t="str">
        <x:v>US$300m share repurchase program for listed securities over 24 months.</x:v>
      </x:c>
      <x:c r="I41" s="47" t="str">
        <x:v>A</x:v>
      </x:c>
    </x:row>
    <x:row r="42">
      <x:c r="A42" s="47" t="str">
        <x:v>Bilibili Inc.</x:v>
      </x:c>
      <x:c r="B42" s="47" t="str">
        <x:v>BILI</x:v>
      </x:c>
      <x:c r="C42" s="47" t="n">
        <x:v>1</x:v>
      </x:c>
      <x:c r="D42" s="47" t="str">
        <x:v>Latest execution / capacity evidence</x:v>
      </x:c>
      <x:c r="E42" s="50" t="n">
        <x:v>46203</x:v>
      </x:c>
      <x:c r="F42" s="47" t="str">
        <x:v>Repurchase update / Form 6-K</x:v>
      </x:c>
      <x:c r="G42" s="47" t="str">
        <x:v>https://www.sec.gov/Archives/edgar/data/1723690/000119312526290468/d114903dex992.htm</x:v>
      </x:c>
      <x:c r="H42" s="39" t="str">
        <x:v>Company disclosed 1.9m listed securities repurchased for US$31.3m by 30-Jun-2026.</x:v>
      </x:c>
      <x:c r="I42" s="47" t="str">
        <x:v>A</x:v>
      </x:c>
    </x:row>
    <x:row r="43">
      <x:c r="A43" s="47" t="str">
        <x:v>Bilibili Inc.</x:v>
      </x:c>
      <x:c r="B43" s="47" t="str">
        <x:v>BILI</x:v>
      </x:c>
      <x:c r="C43" s="47" t="n">
        <x:v>1</x:v>
      </x:c>
      <x:c r="D43" s="47" t="str">
        <x:v>Execution evidence</x:v>
      </x:c>
      <x:c r="E43" s="50" t="n">
        <x:v>46203</x:v>
      </x:c>
      <x:c r="F43" s="47" t="str">
        <x:v>Execution evidence / filing</x:v>
      </x:c>
      <x:c r="G43" s="47" t="str">
        <x:v>https://www.sec.gov/Archives/edgar/data/1723690/000119312526290468/d114903dex992.htm</x:v>
      </x:c>
      <x:c r="H43" s="39" t="str">
        <x:v>Company-disclosed execution</x:v>
      </x:c>
      <x:c r="I43" s="47" t="str">
        <x:v>A</x:v>
      </x:c>
    </x:row>
    <x:row r="44">
      <x:c r="A44" s="47" t="str">
        <x:v>Vipshop Holdings Limited</x:v>
      </x:c>
      <x:c r="B44" s="47" t="str">
        <x:v>VIPS</x:v>
      </x:c>
      <x:c r="C44" s="47" t="n">
        <x:v>1</x:v>
      </x:c>
      <x:c r="D44" s="47" t="str">
        <x:v>Program authorization / amendment</x:v>
      </x:c>
      <x:c r="E44" s="50" t="n">
        <x:v>45524</x:v>
      </x:c>
      <x:c r="F44" s="47" t="str">
        <x:v>Announcement / filing</x:v>
      </x:c>
      <x:c r="G44" s="47" t="str">
        <x:v>https://ir.vip.com/news-releases/news-release-details/vipshop-reports-unaudited-second-quarter-2024-financial-results</x:v>
      </x:c>
      <x:c r="H44" s="39" t="str">
        <x:v>US$1.0bn program; operative after prior authorization was fully utilized; effective through Feb-2027.</x:v>
      </x:c>
      <x:c r="I44" s="47" t="str">
        <x:v>B</x:v>
      </x:c>
    </x:row>
    <x:row r="45">
      <x:c r="A45" s="47" t="str">
        <x:v>Vipshop Holdings Limited</x:v>
      </x:c>
      <x:c r="B45" s="47" t="str">
        <x:v>VIPS</x:v>
      </x:c>
      <x:c r="C45" s="47" t="n">
        <x:v>1</x:v>
      </x:c>
      <x:c r="D45" s="47" t="str">
        <x:v>Latest execution / capacity evidence</x:v>
      </x:c>
      <x:c r="E45" s="50" t="n">
        <x:v>46079</x:v>
      </x:c>
      <x:c r="F45" s="47" t="str">
        <x:v>Q4 / FY2025 results; later Q1-2026 reviewed</x:v>
      </x:c>
      <x:c r="G45" s="47" t="str">
        <x:v>https://ir.vip.com/news-releases/news-release-details/vipshop-reports-unaudited-fourth-quarter-and-full-year-2025</x:v>
      </x:c>
      <x:c r="H45" s="39" t="str">
        <x:v>US$316m unutilized at 31-Dec-2025 implies US$684m cumulative execution.</x:v>
      </x:c>
      <x:c r="I45" s="47" t="str">
        <x:v>B</x:v>
      </x:c>
    </x:row>
    <x:row r="46">
      <x:c r="A46" s="47" t="str">
        <x:v>Vipshop Holdings Limited</x:v>
      </x:c>
      <x:c r="B46" s="47" t="str">
        <x:v>VIPS</x:v>
      </x:c>
      <x:c r="C46" s="47" t="n">
        <x:v>1</x:v>
      </x:c>
      <x:c r="D46" s="47" t="str">
        <x:v>Execution evidence</x:v>
      </x:c>
      <x:c r="E46" s="50" t="n">
        <x:v>46022</x:v>
      </x:c>
      <x:c r="F46" s="47" t="str">
        <x:v>Execution evidence / filing</x:v>
      </x:c>
      <x:c r="G46" s="47" t="str">
        <x:v>https://ir.vip.com/news-releases/news-release-details/vipshop-reports-unaudited-fourth-quarter-and-full-year-2025</x:v>
      </x:c>
      <x:c r="H46" s="39" t="str">
        <x:v>Calculated from company-disclosed remaining capacity</x:v>
      </x:c>
      <x:c r="I46" s="47" t="str">
        <x:v>B</x:v>
      </x:c>
    </x:row>
    <x:row r="47">
      <x:c r="A47" s="47" t="str">
        <x:v>TAL Education Group</x:v>
      </x:c>
      <x:c r="B47" s="47" t="str">
        <x:v>TAL</x:v>
      </x:c>
      <x:c r="C47" s="47" t="n">
        <x:v>1</x:v>
      </x:c>
      <x:c r="D47" s="47" t="str">
        <x:v>Program authorization / amendment</x:v>
      </x:c>
      <x:c r="E47" s="50" t="n">
        <x:v>45866</x:v>
      </x:c>
      <x:c r="F47" s="47" t="str">
        <x:v>Announcement / filing</x:v>
      </x:c>
      <x:c r="G47" s="47" t="str">
        <x:v>https://www.sec.gov/Archives/edgar/data/1499620/000110465925072676/tm2522195d1_ex99-1.htm</x:v>
      </x:c>
      <x:c r="H47" s="39" t="str">
        <x:v>US$600m program; on 30-Jul-2026 board extended the existing program by 12 months through 28-Jul-2027.</x:v>
      </x:c>
      <x:c r="I47" s="47" t="str">
        <x:v>A</x:v>
      </x:c>
    </x:row>
    <x:row r="48">
      <x:c r="A48" s="47" t="str">
        <x:v>TAL Education Group</x:v>
      </x:c>
      <x:c r="B48" s="47" t="str">
        <x:v>TAL</x:v>
      </x:c>
      <x:c r="C48" s="47" t="n">
        <x:v>1</x:v>
      </x:c>
      <x:c r="D48" s="47" t="str">
        <x:v>Latest execution / capacity evidence</x:v>
      </x:c>
      <x:c r="E48" s="50" t="n">
        <x:v>46233</x:v>
      </x:c>
      <x:c r="F48" s="47" t="str">
        <x:v>Q1 FY2027 results / extension update</x:v>
      </x:c>
      <x:c r="G48" s="47" t="str">
        <x:v>https://ir.tal.com/2026-07-30-TAL-Education-Group-Announces-Unaudited-Financial-Results-for-the-First-Fiscal-Quarter-Ended-May-31%2C-2026</x:v>
      </x:c>
      <x:c r="H48" s="39" t="str">
        <x:v>Extended program permits up to ~US$393.7m further repurchases, implying US$206.3m used. Cumulative shares = 4,195,065 + 844,856 + 101,371 + 1,226,033.</x:v>
      </x:c>
      <x:c r="I48" s="47" t="str">
        <x:v>A</x:v>
      </x:c>
    </x:row>
    <x:row r="49">
      <x:c r="A49" s="47" t="str">
        <x:v>TAL Education Group</x:v>
      </x:c>
      <x:c r="B49" s="47" t="str">
        <x:v>TAL</x:v>
      </x:c>
      <x:c r="C49" s="47" t="n">
        <x:v>1</x:v>
      </x:c>
      <x:c r="D49" s="47" t="str">
        <x:v>Execution evidence</x:v>
      </x:c>
      <x:c r="E49" s="50" t="n">
        <x:v>46231</x:v>
      </x:c>
      <x:c r="F49" s="47" t="str">
        <x:v>Execution evidence / filing</x:v>
      </x:c>
      <x:c r="G49" s="47" t="str">
        <x:v>https://ir.tal.com/2026-07-30-TAL-Education-Group-Announces-Unaudited-Financial-Results-for-the-First-Fiscal-Quarter-Ended-May-31%2C-2026</x:v>
      </x:c>
      <x:c r="H49" s="39" t="str">
        <x:v>Calculated from disclosed remaining capacity; cumulative shares summed from quarterly disclosures</x:v>
      </x:c>
      <x:c r="I49" s="47" t="str">
        <x:v>A</x:v>
      </x:c>
    </x:row>
    <x:row r="50">
      <x:c r="A50" s="47" t="str">
        <x:v>New Oriental Education &amp; Technology Group Inc.</x:v>
      </x:c>
      <x:c r="B50" s="47" t="str">
        <x:v>EDU</x:v>
      </x:c>
      <x:c r="C50" s="47" t="n">
        <x:v>1</x:v>
      </x:c>
      <x:c r="D50" s="47" t="str">
        <x:v>Program authorization / amendment</x:v>
      </x:c>
      <x:c r="E50" s="50" t="n">
        <x:v>45958</x:v>
      </x:c>
      <x:c r="F50" s="47" t="str">
        <x:v>Announcement / filing</x:v>
      </x:c>
      <x:c r="G50" s="47" t="str">
        <x:v>https://www.sec.gov/Archives/edgar/data/1372920/000119312526168990/d90814dex991.htm</x:v>
      </x:c>
      <x:c r="H50" s="39" t="str">
        <x:v>FY2026 share repurchase program up to US$300m over the subsequent 12 months.</x:v>
      </x:c>
      <x:c r="I50" s="47" t="str">
        <x:v>A</x:v>
      </x:c>
    </x:row>
    <x:row r="51">
      <x:c r="A51" s="47" t="str">
        <x:v>New Oriental Education &amp; Technology Group Inc.</x:v>
      </x:c>
      <x:c r="B51" s="47" t="str">
        <x:v>EDU</x:v>
      </x:c>
      <x:c r="C51" s="47" t="n">
        <x:v>1</x:v>
      </x:c>
      <x:c r="D51" s="47" t="str">
        <x:v>Latest execution / capacity evidence</x:v>
      </x:c>
      <x:c r="E51" s="50" t="n">
        <x:v>46232</x:v>
      </x:c>
      <x:c r="F51" s="47" t="str">
        <x:v>FY2026 results / Form 6-K</x:v>
      </x:c>
      <x:c r="G51" s="47" t="str">
        <x:v>https://www.sec.gov/Archives/edgar/data/1372920/000119312526322173/d148153dex991.htm</x:v>
      </x:c>
      <x:c r="H51" s="39" t="str">
        <x:v>As of 28-Jul-2026, company disclosed ~51.5m common shares repurchased for ~US$274m under the FY2026 program.</x:v>
      </x:c>
      <x:c r="I51" s="47" t="str">
        <x:v>A</x:v>
      </x:c>
    </x:row>
    <x:row r="52">
      <x:c r="A52" s="47" t="str">
        <x:v>New Oriental Education &amp; Technology Group Inc.</x:v>
      </x:c>
      <x:c r="B52" s="47" t="str">
        <x:v>EDU</x:v>
      </x:c>
      <x:c r="C52" s="47" t="n">
        <x:v>1</x:v>
      </x:c>
      <x:c r="D52" s="47" t="str">
        <x:v>Execution evidence</x:v>
      </x:c>
      <x:c r="E52" s="50" t="n">
        <x:v>46231</x:v>
      </x:c>
      <x:c r="F52" s="47" t="str">
        <x:v>Execution evidence / filing</x:v>
      </x:c>
      <x:c r="G52" s="47" t="str">
        <x:v>https://www.sec.gov/Archives/edgar/data/1372920/000119312526322173/d148153dex991.htm</x:v>
      </x:c>
      <x:c r="H52" s="39" t="str">
        <x:v>Company-disclosed cumulative execution</x:v>
      </x:c>
      <x:c r="I52" s="47" t="str">
        <x:v>A</x:v>
      </x:c>
    </x:row>
    <x:row r="53">
      <x:c r="A53" s="47" t="str">
        <x:v>New Oriental Education &amp; Technology Group Inc.</x:v>
      </x:c>
      <x:c r="B53" s="47" t="str">
        <x:v>EDU</x:v>
      </x:c>
      <x:c r="C53" s="47" t="n">
        <x:v>2</x:v>
      </x:c>
      <x:c r="D53" s="47" t="str">
        <x:v>Program authorization / amendment</x:v>
      </x:c>
      <x:c r="E53" s="50" t="n">
        <x:v>46232</x:v>
      </x:c>
      <x:c r="F53" s="47" t="str">
        <x:v>Announcement / filing</x:v>
      </x:c>
      <x:c r="G53" s="47" t="str">
        <x:v>https://www.sec.gov/Archives/edgar/data/1372920/000119312526322173/d148153dex991.htm</x:v>
      </x:c>
      <x:c r="H53" s="39" t="str">
        <x:v>FY2027 share repurchase program up to US$200m over the subsequent 12 months.</x:v>
      </x:c>
      <x:c r="I53" s="47" t="str">
        <x:v>C</x:v>
      </x:c>
    </x:row>
    <x:row r="54">
      <x:c r="A54" s="47" t="str">
        <x:v>New Oriental Education &amp; Technology Group Inc.</x:v>
      </x:c>
      <x:c r="B54" s="47" t="str">
        <x:v>EDU</x:v>
      </x:c>
      <x:c r="C54" s="47" t="n">
        <x:v>2</x:v>
      </x:c>
      <x:c r="D54" s="47" t="str">
        <x:v>Latest execution / capacity evidence</x:v>
      </x:c>
      <x:c r="E54" s="50" t="n">
        <x:v>46232</x:v>
      </x:c>
      <x:c r="F54" s="47" t="str">
        <x:v>FY2026 results / new-program announcement</x:v>
      </x:c>
      <x:c r="G54" s="47" t="str">
        <x:v>https://www.sec.gov/Archives/edgar/data/1372920/000119312526322173/d148153dex991.htm</x:v>
      </x:c>
      <x:c r="H54" s="39" t="str">
        <x:v>Newly authorized on 29-Jul-2026. Execution is intentionally blank rather than assumed to be zero because no later quarterly/annual execution report existed by 21-Aug-2026.</x:v>
      </x:c>
      <x:c r="I54" s="47" t="str">
        <x:v>C</x:v>
      </x:c>
    </x:row>
    <x:row r="55">
      <x:c r="A55" s="47" t="str">
        <x:v>New Oriental Education &amp; Technology Group Inc.</x:v>
      </x:c>
      <x:c r="B55" s="47" t="str">
        <x:v>EDU</x:v>
      </x:c>
      <x:c r="C55" s="47" t="n">
        <x:v>2</x:v>
      </x:c>
      <x:c r="D55" s="47" t="str">
        <x:v>Execution evidence</x:v>
      </x:c>
      <x:c r="E55" s="50" t="n">
        <x:v>46232</x:v>
      </x:c>
      <x:c r="F55" s="47" t="str">
        <x:v>Execution evidence / filing</x:v>
      </x:c>
      <x:c r="G55" s="47" t="str">
        <x:v>https://www.sec.gov/Archives/edgar/data/1372920/000119312526322173/d148153dex991.htm</x:v>
      </x:c>
      <x:c r="H55" s="39" t="str">
        <x:v>No post-announcement execution disclosure available by cutoff</x:v>
      </x:c>
      <x:c r="I55" s="47" t="str">
        <x:v>C</x:v>
      </x:c>
    </x:row>
    <x:row r="56">
      <x:c r="A56" s="47" t="str">
        <x:v>KANZHUN LIMITED</x:v>
      </x:c>
      <x:c r="B56" s="47" t="str">
        <x:v>BZ</x:v>
      </x:c>
      <x:c r="C56" s="47" t="n">
        <x:v>1</x:v>
      </x:c>
      <x:c r="D56" s="47" t="str">
        <x:v>Program authorization / amendment</x:v>
      </x:c>
      <x:c r="E56" s="50" t="n">
        <x:v>46099</x:v>
      </x:c>
      <x:c r="F56" s="47" t="str">
        <x:v>Announcement / filing</x:v>
      </x:c>
      <x:c r="G56" s="47" t="str">
        <x:v>https://www.globenewswire.com/news-release/2026/03/19/3258899/0/en/kanzhun-limited-announces-shareholder-return-target-through-dividend-distribution-and-extension-and-upsizing-of-share-repurchase-program.html</x:v>
      </x:c>
      <x:c r="H56" s="39" t="str">
        <x:v>Existing program upsized to US$400m and extended through 28-Aug-2027.</x:v>
      </x:c>
      <x:c r="I56" s="47" t="str">
        <x:v>B</x:v>
      </x:c>
    </x:row>
    <x:row r="57">
      <x:c r="A57" s="47" t="str">
        <x:v>KANZHUN LIMITED</x:v>
      </x:c>
      <x:c r="B57" s="47" t="str">
        <x:v>BZ</x:v>
      </x:c>
      <x:c r="C57" s="47" t="n">
        <x:v>1</x:v>
      </x:c>
      <x:c r="D57" s="47" t="str">
        <x:v>Latest execution / capacity evidence</x:v>
      </x:c>
      <x:c r="E57" s="50" t="n">
        <x:v>46204</x:v>
      </x:c>
      <x:c r="F57" s="47" t="str">
        <x:v>H1-2026 buyback execution update</x:v>
      </x:c>
      <x:c r="G57" s="47" t="str">
        <x:v>https://www.globenewswire.com/news-release/2026/07/01/3320480/0/en/boss-zhipin-s-ongoing-share-repurchases-reach-over-rmb2-06-billion-in-1h2026.html</x:v>
      </x:c>
      <x:c r="H57" s="39" t="str">
        <x:v>Lower-bound USD conversion of &gt;RMB2.06bn H1-2026 purchases using RMB6.7851/US$ at 30-Jun-2026. Earlier program-term purchases are not added, so displayed completion is conservative.</x:v>
      </x:c>
      <x:c r="I57" s="47" t="str">
        <x:v>B</x:v>
      </x:c>
    </x:row>
    <x:row r="58">
      <x:c r="A58" s="47" t="str">
        <x:v>KANZHUN LIMITED</x:v>
      </x:c>
      <x:c r="B58" s="47" t="str">
        <x:v>BZ</x:v>
      </x:c>
      <x:c r="C58" s="47" t="n">
        <x:v>1</x:v>
      </x:c>
      <x:c r="D58" s="47" t="str">
        <x:v>Execution evidence</x:v>
      </x:c>
      <x:c r="E58" s="50" t="n">
        <x:v>46203</x:v>
      </x:c>
      <x:c r="F58" s="47" t="str">
        <x:v>Execution evidence / filing</x:v>
      </x:c>
      <x:c r="G58" s="47" t="str">
        <x:v>https://www.globenewswire.com/news-release/2026/07/01/3320480/0/en/boss-zhipin-s-ongoing-share-repurchases-reach-over-rmb2-06-billion-in-1h2026.html</x:v>
      </x:c>
      <x:c r="H58" s="39" t="str">
        <x:v>Lower bound; company disclosed 'over RMB2.06bn' repurchased in H1-2026</x:v>
      </x:c>
      <x:c r="I58" s="47" t="str">
        <x:v>B</x:v>
      </x:c>
    </x:row>
    <x:row r="59">
      <x:c r="A59" s="47" t="str">
        <x:v>Qfin Holdings, Inc.</x:v>
      </x:c>
      <x:c r="B59" s="47" t="str">
        <x:v>QFIN</x:v>
      </x:c>
      <x:c r="C59" s="47" t="n">
        <x:v>1</x:v>
      </x:c>
      <x:c r="D59" s="47" t="str">
        <x:v>Program authorization / amendment</x:v>
      </x:c>
      <x:c r="E59" s="50" t="n">
        <x:v>45741</x:v>
      </x:c>
      <x:c r="F59" s="47" t="str">
        <x:v>Announcement / filing</x:v>
      </x:c>
      <x:c r="G59" s="47" t="str">
        <x:v>https://www.sec.gov/Archives/edgar/data/1741530/000110465926049501/qfin-20251231x20f.htm</x:v>
      </x:c>
      <x:c r="H59" s="39" t="str">
        <x:v>March-2025 Share Repurchase Plan funded with net proceeds from 2030 Notes; no definitive term.</x:v>
      </x:c>
      <x:c r="I59" s="47" t="str">
        <x:v>B</x:v>
      </x:c>
    </x:row>
    <x:row r="60">
      <x:c r="A60" s="47" t="str">
        <x:v>Qfin Holdings, Inc.</x:v>
      </x:c>
      <x:c r="B60" s="47" t="str">
        <x:v>QFIN</x:v>
      </x:c>
      <x:c r="C60" s="47" t="n">
        <x:v>1</x:v>
      </x:c>
      <x:c r="D60" s="47" t="str">
        <x:v>Latest execution / capacity evidence</x:v>
      </x:c>
      <x:c r="E60" s="50" t="n">
        <x:v>46141</x:v>
      </x:c>
      <x:c r="F60" s="47" t="str">
        <x:v>2025 Form 20-F</x:v>
      </x:c>
      <x:c r="G60" s="47" t="str">
        <x:v>https://www.sec.gov/Archives/edgar/data/1741530/000110465926049501/qfin-20251231x20f.htm</x:v>
      </x:c>
      <x:c r="H60" s="39" t="str">
        <x:v>Company disclosed ~US$227m initial repurchase and ~US$450m buyback capacity remaining. US$677m is therefore an implied economic capacity, not a board-stated formal limit.</x:v>
      </x:c>
      <x:c r="I60" s="47" t="str">
        <x:v>B</x:v>
      </x:c>
    </x:row>
    <x:row r="61">
      <x:c r="A61" s="47" t="str">
        <x:v>Qfin Holdings, Inc.</x:v>
      </x:c>
      <x:c r="B61" s="47" t="str">
        <x:v>QFIN</x:v>
      </x:c>
      <x:c r="C61" s="47" t="n">
        <x:v>1</x:v>
      </x:c>
      <x:c r="D61" s="47" t="str">
        <x:v>Execution evidence</x:v>
      </x:c>
      <x:c r="E61" s="50" t="n">
        <x:v>46022</x:v>
      </x:c>
      <x:c r="F61" s="47" t="str">
        <x:v>Execution evidence / filing</x:v>
      </x:c>
      <x:c r="G61" s="47" t="str">
        <x:v>https://www.sec.gov/Archives/edgar/data/1741530/000110465926049501/qfin-20251231x20f.htm</x:v>
      </x:c>
      <x:c r="H61" s="39" t="str">
        <x:v>Implied economic capacity, not a formally stated fixed cap</x:v>
      </x:c>
      <x:c r="I61" s="47" t="str">
        <x:v>B</x:v>
      </x:c>
    </x:row>
    <x:row r="62">
      <x:c r="A62" s="47" t="str">
        <x:v>MINISO Group Holding Limited</x:v>
      </x:c>
      <x:c r="B62" s="47" t="str">
        <x:v>MNSO</x:v>
      </x:c>
      <x:c r="C62" s="47" t="n">
        <x:v>1</x:v>
      </x:c>
      <x:c r="D62" s="47" t="str">
        <x:v>Program authorization / amendment</x:v>
      </x:c>
      <x:c r="E62" s="50" t="n">
        <x:v>46202</x:v>
      </x:c>
      <x:c r="F62" s="47" t="str">
        <x:v>Announcement / filing</x:v>
      </x:c>
      <x:c r="G62" s="47" t="str">
        <x:v>https://www.sec.gov/Archives/edgar/data/1815846/000110465926079051/tm2619282d1_ex99-1.htm</x:v>
      </x:c>
      <x:c r="H62" s="39" t="str">
        <x:v>New HK$2.0bn share repurchase program over 12 months starting 30-Jun-2026.</x:v>
      </x:c>
      <x:c r="I62" s="47" t="str">
        <x:v>C</x:v>
      </x:c>
    </x:row>
    <x:row r="63">
      <x:c r="A63" s="47" t="str">
        <x:v>MINISO Group Holding Limited</x:v>
      </x:c>
      <x:c r="B63" s="47" t="str">
        <x:v>MNSO</x:v>
      </x:c>
      <x:c r="C63" s="47" t="n">
        <x:v>1</x:v>
      </x:c>
      <x:c r="D63" s="47" t="str">
        <x:v>Latest execution / capacity evidence</x:v>
      </x:c>
      <x:c r="E63" s="50" t="n">
        <x:v>46202</x:v>
      </x:c>
      <x:c r="F63" s="47" t="str">
        <x:v>Program announcement / Form 6-K</x:v>
      </x:c>
      <x:c r="G63" s="47" t="str">
        <x:v>https://www.sec.gov/Archives/edgar/data/1815846/000110465926079051/tm2619282d1_ex99-1.htm</x:v>
      </x:c>
      <x:c r="H63" s="39" t="str">
        <x:v>US$ authorization equivalent is formula-converted at HK$7.80/US$. Execution left blank rather than assumed zero.</x:v>
      </x:c>
      <x:c r="I63" s="47" t="str">
        <x:v>C</x:v>
      </x:c>
    </x:row>
    <x:row r="64">
      <x:c r="A64" s="47" t="str">
        <x:v>MINISO Group Holding Limited</x:v>
      </x:c>
      <x:c r="B64" s="47" t="str">
        <x:v>MNSO</x:v>
      </x:c>
      <x:c r="C64" s="47" t="n">
        <x:v>1</x:v>
      </x:c>
      <x:c r="D64" s="47" t="str">
        <x:v>Execution evidence</x:v>
      </x:c>
      <x:c r="E64" s="50" t="n">
        <x:v>46203</x:v>
      </x:c>
      <x:c r="F64" s="47" t="str">
        <x:v>Execution evidence / filing</x:v>
      </x:c>
      <x:c r="G64" s="47" t="str">
        <x:v>https://www.sec.gov/Archives/edgar/data/1815846/000110465926079051/tm2619282d1_ex99-1.htm</x:v>
      </x:c>
      <x:c r="H64" s="39" t="str">
        <x:v>No post-launch quarterly/annual execution disclosure available by cutoff</x:v>
      </x:c>
      <x:c r="I64" s="47" t="str">
        <x:v>C</x:v>
      </x:c>
    </x:row>
    <x:row r="65">
      <x:c r="A65" s="47" t="str">
        <x:v>WeRide Inc.</x:v>
      </x:c>
      <x:c r="B65" s="47" t="str">
        <x:v>WRD</x:v>
      </x:c>
      <x:c r="C65" s="47" t="n">
        <x:v>1</x:v>
      </x:c>
      <x:c r="D65" s="47" t="str">
        <x:v>Program authorization / amendment</x:v>
      </x:c>
      <x:c r="E65" s="50" t="n">
        <x:v>46104</x:v>
      </x:c>
      <x:c r="F65" s="47" t="str">
        <x:v>Announcement / filing</x:v>
      </x:c>
      <x:c r="G65" s="47" t="str">
        <x:v>https://ir.weride.ai/static-files/47133420-9a1c-4189-80e3-e44a70aeec97</x:v>
      </x:c>
      <x:c r="H65" s="39" t="str">
        <x:v>US$100m repurchase program for Class A ordinary shares including ADSs over 12 months.</x:v>
      </x:c>
      <x:c r="I65" s="47" t="str">
        <x:v>B</x:v>
      </x:c>
    </x:row>
    <x:row r="66">
      <x:c r="A66" s="47" t="str">
        <x:v>WeRide Inc.</x:v>
      </x:c>
      <x:c r="B66" s="47" t="str">
        <x:v>WRD</x:v>
      </x:c>
      <x:c r="C66" s="47" t="n">
        <x:v>1</x:v>
      </x:c>
      <x:c r="D66" s="47" t="str">
        <x:v>Latest execution / capacity evidence</x:v>
      </x:c>
      <x:c r="E66" s="50" t="n">
        <x:v>46246</x:v>
      </x:c>
      <x:c r="F66" s="47" t="str">
        <x:v>H1 2026 interim report / Form 6-K</x:v>
      </x:c>
      <x:c r="G66" s="47" t="str">
        <x:v>https://ir.weride.ai/static-files/605ededd-c1a7-4a58-822f-8e5b3035cf1f</x:v>
      </x:c>
      <x:c r="H66" s="39" t="str">
        <x:v>HK$542.98m HKEX purchases / 7.80 + US$30.02m Nasdaq purchases = ~US$99.633m. Share count converts 3,501,001 ADSs at 1 ADS=3 Class A, then adds 29,951,097 HKEX Class A shares.</x:v>
      </x:c>
      <x:c r="I66" s="47" t="str">
        <x:v>B</x:v>
      </x:c>
    </x:row>
    <x:row r="67">
      <x:c r="A67" s="47" t="str">
        <x:v>WeRide Inc.</x:v>
      </x:c>
      <x:c r="B67" s="47" t="str">
        <x:v>WRD</x:v>
      </x:c>
      <x:c r="C67" s="47" t="n">
        <x:v>1</x:v>
      </x:c>
      <x:c r="D67" s="47" t="str">
        <x:v>Execution evidence</x:v>
      </x:c>
      <x:c r="E67" s="50" t="n">
        <x:v>46203</x:v>
      </x:c>
      <x:c r="F67" s="47" t="str">
        <x:v>Execution evidence / filing</x:v>
      </x:c>
      <x:c r="G67" s="47" t="str">
        <x:v>https://ir.weride.ai/static-files/605ededd-c1a7-4a58-822f-8e5b3035cf1f</x:v>
      </x:c>
      <x:c r="H67" s="39" t="str">
        <x:v>Calculated from issuer-disclosed HKEX and Nasdaq purchase legs</x:v>
      </x:c>
      <x:c r="I67" s="47" t="str">
        <x:v>B</x:v>
      </x:c>
    </x:row>
    <x:row r="68">
      <x:c r="A68" s="47" t="str">
        <x:v>Atour Lifestyle Holdings Limited</x:v>
      </x:c>
      <x:c r="B68" s="47" t="str">
        <x:v>ATAT</x:v>
      </x:c>
      <x:c r="C68" s="47" t="n">
        <x:v>1</x:v>
      </x:c>
      <x:c r="D68" s="47" t="str">
        <x:v>Program authorization / amendment</x:v>
      </x:c>
      <x:c r="E68" s="50" t="n">
        <x:v>45799</x:v>
      </x:c>
      <x:c r="F68" s="47" t="str">
        <x:v>Announcement / filing</x:v>
      </x:c>
      <x:c r="G68" s="47" t="str">
        <x:v>https://ir.yaduo.com/</x:v>
      </x:c>
      <x:c r="H68" s="39" t="str">
        <x:v>Three-year repurchase program up to US$400m of ordinary shares and/or ADSs.</x:v>
      </x:c>
      <x:c r="I68" s="47" t="str">
        <x:v>B</x:v>
      </x:c>
    </x:row>
    <x:row r="69">
      <x:c r="A69" s="47" t="str">
        <x:v>Atour Lifestyle Holdings Limited</x:v>
      </x:c>
      <x:c r="B69" s="47" t="str">
        <x:v>ATAT</x:v>
      </x:c>
      <x:c r="C69" s="47" t="n">
        <x:v>1</x:v>
      </x:c>
      <x:c r="D69" s="47" t="str">
        <x:v>Latest execution / capacity evidence</x:v>
      </x:c>
      <x:c r="E69" s="50" t="n">
        <x:v>46129</x:v>
      </x:c>
      <x:c r="F69" s="47" t="str">
        <x:v>2025 Form 20-F; 2026 quarterlies reviewed</x:v>
      </x:c>
      <x:c r="G69" s="47" t="str">
        <x:v>https://ir.yaduo.com/financial-information/annual-reports/</x:v>
      </x:c>
      <x:c r="H69" s="39" t="str">
        <x:v>2025 annual filing disclosed 1,178,684 ADSs (~3,536,052 Class A ordinary shares) for ~US$46m through 31-Dec-2025. Later 2026 quarterlies reviewed did not give a newer quantified program balance.</x:v>
      </x:c>
      <x:c r="I69" s="47" t="str">
        <x:v>B</x:v>
      </x:c>
    </x:row>
    <x:row r="70">
      <x:c r="A70" s="47" t="str">
        <x:v>Atour Lifestyle Holdings Limited</x:v>
      </x:c>
      <x:c r="B70" s="47" t="str">
        <x:v>ATAT</x:v>
      </x:c>
      <x:c r="C70" s="47" t="n">
        <x:v>1</x:v>
      </x:c>
      <x:c r="D70" s="47" t="str">
        <x:v>Execution evidence</x:v>
      </x:c>
      <x:c r="E70" s="50" t="n">
        <x:v>46022</x:v>
      </x:c>
      <x:c r="F70" s="47" t="str">
        <x:v>Execution evidence / filing</x:v>
      </x:c>
      <x:c r="G70" s="47" t="str">
        <x:v>https://ir.yaduo.com/financial-information/annual-reports/</x:v>
      </x:c>
      <x:c r="H70" s="39" t="str">
        <x:v>Latest quantified cumulative execution located</x:v>
      </x:c>
      <x:c r="I70" s="47" t="str">
        <x:v>B</x:v>
      </x:c>
    </x:row>
    <x:row r="71">
      <x:c r="A71" s="47" t="str">
        <x:v>RLX Technology Inc.</x:v>
      </x:c>
      <x:c r="B71" s="47" t="str">
        <x:v>RLX</x:v>
      </x:c>
      <x:c r="C71" s="47" t="n">
        <x:v>1</x:v>
      </x:c>
      <x:c r="D71" s="47" t="str">
        <x:v>Program authorization / amendment</x:v>
      </x:c>
      <x:c r="E71" s="50" t="n">
        <x:v>46022</x:v>
      </x:c>
      <x:c r="F71" s="47" t="str">
        <x:v>Announcement / filing</x:v>
      </x:c>
      <x:c r="G71" s="47" t="str">
        <x:v>https://ir.relxtech.com/2025-12-31-RLX-Technology-Extends-US-500-Million-Share-Repurchase-Program</x:v>
      </x:c>
      <x:c r="H71" s="39" t="str">
        <x:v>US$500m program extended for 24 months through 31-Dec-2027; authorization not reset.</x:v>
      </x:c>
      <x:c r="I71" s="47" t="str">
        <x:v>A</x:v>
      </x:c>
    </x:row>
    <x:row r="72">
      <x:c r="A72" s="47" t="str">
        <x:v>RLX Technology Inc.</x:v>
      </x:c>
      <x:c r="B72" s="47" t="str">
        <x:v>RLX</x:v>
      </x:c>
      <x:c r="C72" s="47" t="n">
        <x:v>1</x:v>
      </x:c>
      <x:c r="D72" s="47" t="str">
        <x:v>Latest execution / capacity evidence</x:v>
      </x:c>
      <x:c r="E72" s="50" t="n">
        <x:v>46022</x:v>
      </x:c>
      <x:c r="F72" s="47" t="str">
        <x:v>Program extension / latest quantified disclosure</x:v>
      </x:c>
      <x:c r="G72" s="47" t="str">
        <x:v>https://ir.relxtech.com/2025-12-31-RLX-Technology-Extends-US-500-Million-Share-Repurchase-Program</x:v>
      </x:c>
      <x:c r="H72" s="39" t="str">
        <x:v>Company disclosed ~170m ordinary shares repurchased for ~US$330m cumulatively as of 31-Dec-2025.</x:v>
      </x:c>
      <x:c r="I72" s="47" t="str">
        <x:v>A</x:v>
      </x:c>
    </x:row>
    <x:row r="73">
      <x:c r="A73" s="47" t="str">
        <x:v>RLX Technology Inc.</x:v>
      </x:c>
      <x:c r="B73" s="47" t="str">
        <x:v>RLX</x:v>
      </x:c>
      <x:c r="C73" s="47" t="n">
        <x:v>1</x:v>
      </x:c>
      <x:c r="D73" s="47" t="str">
        <x:v>Execution evidence</x:v>
      </x:c>
      <x:c r="E73" s="50" t="n">
        <x:v>46022</x:v>
      </x:c>
      <x:c r="F73" s="47" t="str">
        <x:v>Execution evidence / filing</x:v>
      </x:c>
      <x:c r="G73" s="47" t="str">
        <x:v>https://ir.relxtech.com/2025-12-31-RLX-Technology-Extends-US-500-Million-Share-Repurchase-Program</x:v>
      </x:c>
      <x:c r="H73" s="39" t="str">
        <x:v>Company-disclosed cumulative execution</x:v>
      </x:c>
      <x:c r="I73" s="47" t="str">
        <x:v>A</x:v>
      </x:c>
    </x:row>
    <x:row r="74">
      <x:c r="A74" s="47" t="str">
        <x:v>Autohome Inc.</x:v>
      </x:c>
      <x:c r="B74" s="47" t="str">
        <x:v>ATHM</x:v>
      </x:c>
      <x:c r="C74" s="47" t="n">
        <x:v>1</x:v>
      </x:c>
      <x:c r="D74" s="47" t="str">
        <x:v>Program authorization / amendment</x:v>
      </x:c>
      <x:c r="E74" s="50" t="n">
        <x:v>46231</x:v>
      </x:c>
      <x:c r="F74" s="47" t="str">
        <x:v>Announcement / filing</x:v>
      </x:c>
      <x:c r="G74" s="47" t="str">
        <x:v>https://autohomeinc.gcs-web.com/news-releases/news-release-details/autohome-inc-announces-us400-million-new-share-repurchase</x:v>
      </x:c>
      <x:c r="H74" s="39" t="str">
        <x:v>New US$400m ADS repurchase program over the following 12 months.</x:v>
      </x:c>
      <x:c r="I74" s="47" t="str">
        <x:v>A</x:v>
      </x:c>
    </x:row>
    <x:row r="75">
      <x:c r="A75" s="47" t="str">
        <x:v>Autohome Inc.</x:v>
      </x:c>
      <x:c r="B75" s="47" t="str">
        <x:v>ATHM</x:v>
      </x:c>
      <x:c r="C75" s="47" t="n">
        <x:v>1</x:v>
      </x:c>
      <x:c r="D75" s="47" t="str">
        <x:v>Latest execution / capacity evidence</x:v>
      </x:c>
      <x:c r="E75" s="50" t="n">
        <x:v>46254</x:v>
      </x:c>
      <x:c r="F75" s="47" t="str">
        <x:v>Q2 / interim 2026 results</x:v>
      </x:c>
      <x:c r="G75" s="47" t="str">
        <x:v>https://www.prnewswire.com/news-releases/autohome-inc-announces-unaudited-second-quarter-and-interim-2026-financial-results-302856268.html</x:v>
      </x:c>
      <x:c r="H75" s="39" t="str">
        <x:v>Company disclosed 1,895,093 ADSs repurchased for US$43.6m under the new program through 14-Aug-2026.</x:v>
      </x:c>
      <x:c r="I75" s="47" t="str">
        <x:v>A</x:v>
      </x:c>
    </x:row>
    <x:row r="76">
      <x:c r="A76" s="47" t="str">
        <x:v>Autohome Inc.</x:v>
      </x:c>
      <x:c r="B76" s="47" t="str">
        <x:v>ATHM</x:v>
      </x:c>
      <x:c r="C76" s="47" t="n">
        <x:v>1</x:v>
      </x:c>
      <x:c r="D76" s="47" t="str">
        <x:v>Execution evidence</x:v>
      </x:c>
      <x:c r="E76" s="50" t="n">
        <x:v>46248</x:v>
      </x:c>
      <x:c r="F76" s="47" t="str">
        <x:v>Execution evidence / filing</x:v>
      </x:c>
      <x:c r="G76" s="47" t="str">
        <x:v>https://www.prnewswire.com/news-releases/autohome-inc-announces-unaudited-second-quarter-and-interim-2026-financial-results-302856268.html</x:v>
      </x:c>
      <x:c r="H76" s="39" t="str">
        <x:v>Company-disclosed execution under new program</x:v>
      </x:c>
      <x:c r="I76" s="47" t="str">
        <x:v>A</x:v>
      </x:c>
    </x:row>
    <x:row r="77">
      <x:c r="A77" s="47" t="str">
        <x:v>Weibo Corporation</x:v>
      </x:c>
      <x:c r="B77" s="47" t="str">
        <x:v>WB</x:v>
      </x:c>
      <x:c r="C77" s="47" t="n">
        <x:v>1</x:v>
      </x:c>
      <x:c r="D77" s="47" t="str">
        <x:v>Program authorization / amendment</x:v>
      </x:c>
      <x:c r="E77" s="50" t="n">
        <x:v>46022</x:v>
      </x:c>
      <x:c r="F77" s="47" t="str">
        <x:v>Announcement / filing</x:v>
      </x:c>
      <x:c r="G77" s="47" t="str">
        <x:v>https://www.sec.gov/Archives/edgar/data/1595761/000110465925125383/tm2534497d1_6k.htm</x:v>
      </x:c>
      <x:c r="H77" s="39" t="str">
        <x:v>US$200m share repurchase program over the following 12 months.</x:v>
      </x:c>
      <x:c r="I77" s="47" t="str">
        <x:v>C</x:v>
      </x:c>
    </x:row>
    <x:row r="78">
      <x:c r="A78" s="47" t="str">
        <x:v>Weibo Corporation</x:v>
      </x:c>
      <x:c r="B78" s="47" t="str">
        <x:v>WB</x:v>
      </x:c>
      <x:c r="C78" s="47" t="n">
        <x:v>1</x:v>
      </x:c>
      <x:c r="D78" s="47" t="str">
        <x:v>Latest execution / capacity evidence</x:v>
      </x:c>
      <x:c r="E78" s="50" t="n">
        <x:v>46140</x:v>
      </x:c>
      <x:c r="F78" s="47" t="str">
        <x:v>2025 Form 20-F / program Form 6-K</x:v>
      </x:c>
      <x:c r="G78" s="47" t="str">
        <x:v>https://www.sec.gov/Archives/edgar/data/1595761/000110465926047217/wb-20251231x20f.htm</x:v>
      </x:c>
      <x:c r="H78" s="39" t="str">
        <x:v>Authorization is directly disclosed. Execution is intentionally blank rather than assumed zero because no quantified current-program execution disclosure was located by 21-Aug-2026.</x:v>
      </x:c>
      <x:c r="I78" s="47" t="str">
        <x:v>C</x:v>
      </x:c>
    </x:row>
    <x:row r="79">
      <x:c r="A79" s="47" t="str">
        <x:v>Weibo Corporation</x:v>
      </x:c>
      <x:c r="B79" s="47" t="str">
        <x:v>WB</x:v>
      </x:c>
      <x:c r="C79" s="47" t="n">
        <x:v>1</x:v>
      </x:c>
      <x:c r="D79" s="47" t="str">
        <x:v>Execution evidence</x:v>
      </x:c>
      <x:c r="E79" s="50" t="n">
        <x:v>46022</x:v>
      </x:c>
      <x:c r="F79" s="47" t="str">
        <x:v>Execution evidence / filing</x:v>
      </x:c>
      <x:c r="G79" s="47" t="str">
        <x:v>https://www.sec.gov/Archives/edgar/data/1595761/000110465926047217/wb-20251231x20f.htm</x:v>
      </x:c>
      <x:c r="H79" s="39" t="str">
        <x:v>No quantified execution under the new program located by cutoff</x:v>
      </x:c>
      <x:c r="I79" s="47" t="str">
        <x:v>C</x:v>
      </x:c>
    </x:row>
    <x:row r="80">
      <x:c r="A80" s="47" t="str">
        <x:v>iQIYI, Inc.</x:v>
      </x:c>
      <x:c r="B80" s="47" t="str">
        <x:v>IQ</x:v>
      </x:c>
      <x:c r="C80" s="47" t="n">
        <x:v>1</x:v>
      </x:c>
      <x:c r="D80" s="47" t="str">
        <x:v>Program authorization / amendment</x:v>
      </x:c>
      <x:c r="E80" s="50" t="n">
        <x:v>46111</x:v>
      </x:c>
      <x:c r="F80" s="47" t="str">
        <x:v>Announcement / filing</x:v>
      </x:c>
      <x:c r="G80" s="47" t="str">
        <x:v>https://www.sec.gov/Archives/edgar/data/1722608/000119312526131759/d15446dex991.htm</x:v>
      </x:c>
      <x:c r="H80" s="39" t="str">
        <x:v>US$100m share repurchase program over the following 18 months, effective immediately.</x:v>
      </x:c>
      <x:c r="I80" s="47" t="str">
        <x:v>A</x:v>
      </x:c>
    </x:row>
    <x:row r="81">
      <x:c r="A81" s="47" t="str">
        <x:v>iQIYI, Inc.</x:v>
      </x:c>
      <x:c r="B81" s="47" t="str">
        <x:v>IQ</x:v>
      </x:c>
      <x:c r="C81" s="47" t="n">
        <x:v>1</x:v>
      </x:c>
      <x:c r="D81" s="47" t="str">
        <x:v>Latest execution / capacity evidence</x:v>
      </x:c>
      <x:c r="E81" s="50" t="n">
        <x:v>46254</x:v>
      </x:c>
      <x:c r="F81" s="47" t="str">
        <x:v>Q2 2026 results</x:v>
      </x:c>
      <x:c r="G81" s="47" t="str">
        <x:v>https://ir.iqiyi.com/news-releases/news-release-details/iqiyi-announces-second-quarter-2026-financial-results</x:v>
      </x:c>
      <x:c r="H81" s="39" t="str">
        <x:v>Company disclosed 21.8m ADSs repurchased for US$24.1m as of 30-Jun-2026.</x:v>
      </x:c>
      <x:c r="I81" s="47" t="str">
        <x:v>A</x:v>
      </x:c>
    </x:row>
    <x:row r="82">
      <x:c r="A82" s="47" t="str">
        <x:v>iQIYI, Inc.</x:v>
      </x:c>
      <x:c r="B82" s="47" t="str">
        <x:v>IQ</x:v>
      </x:c>
      <x:c r="C82" s="47" t="n">
        <x:v>1</x:v>
      </x:c>
      <x:c r="D82" s="47" t="str">
        <x:v>Execution evidence</x:v>
      </x:c>
      <x:c r="E82" s="50" t="n">
        <x:v>46203</x:v>
      </x:c>
      <x:c r="F82" s="47" t="str">
        <x:v>Execution evidence / filing</x:v>
      </x:c>
      <x:c r="G82" s="47" t="str">
        <x:v>https://ir.iqiyi.com/news-releases/news-release-details/iqiyi-announces-second-quarter-2026-financial-results</x:v>
      </x:c>
      <x:c r="H82" s="39" t="str">
        <x:v>Company-disclosed cumulative execution</x:v>
      </x:c>
      <x:c r="I82" s="47" t="str">
        <x:v>A</x:v>
      </x:c>
    </x:row>
    <x:row r="83">
      <x:c r="A83" s="47" t="str">
        <x:v>GigaCloud Technology Inc.</x:v>
      </x:c>
      <x:c r="B83" s="47" t="str">
        <x:v>GCT</x:v>
      </x:c>
      <x:c r="C83" s="47" t="n">
        <x:v>1</x:v>
      </x:c>
      <x:c r="D83" s="47" t="str">
        <x:v>Program authorization / amendment</x:v>
      </x:c>
      <x:c r="E83" s="50" t="n">
        <x:v>46239</x:v>
      </x:c>
      <x:c r="F83" s="47" t="str">
        <x:v>Announcement / filing</x:v>
      </x:c>
      <x:c r="G83" s="47" t="str">
        <x:v>https://investors.gigacloudtech.com/news-releases/news-release-details/gigacloud-technology-inc-announces-second-quarter-and-six-1</x:v>
      </x:c>
      <x:c r="H83" s="39" t="str">
        <x:v>New US$120m program, effective 6-Aug-2026 for three years; prior program terminated.</x:v>
      </x:c>
      <x:c r="I83" s="47" t="str">
        <x:v>C</x:v>
      </x:c>
    </x:row>
    <x:row r="84">
      <x:c r="A84" s="47" t="str">
        <x:v>GigaCloud Technology Inc.</x:v>
      </x:c>
      <x:c r="B84" s="47" t="str">
        <x:v>GCT</x:v>
      </x:c>
      <x:c r="C84" s="47" t="n">
        <x:v>1</x:v>
      </x:c>
      <x:c r="D84" s="47" t="str">
        <x:v>Latest execution / capacity evidence</x:v>
      </x:c>
      <x:c r="E84" s="50" t="n">
        <x:v>46240</x:v>
      </x:c>
      <x:c r="F84" s="47" t="str">
        <x:v>Q2 2026 results / program announcement</x:v>
      </x:c>
      <x:c r="G84" s="47" t="str">
        <x:v>https://investors.gigacloudtech.com/news-releases/news-release-details/gigacloud-technology-inc-announces-second-quarter-and-six-1</x:v>
      </x:c>
      <x:c r="H84" s="39" t="str">
        <x:v>New program became effective 6-Aug-2026. Execution is blank rather than assumed zero because no subsequent quarterly/annual execution disclosure existed by 21-Aug-2026.</x:v>
      </x:c>
      <x:c r="I84" s="47" t="str">
        <x:v>C</x:v>
      </x:c>
    </x:row>
    <x:row r="85">
      <x:c r="A85" s="47" t="str">
        <x:v>GigaCloud Technology Inc.</x:v>
      </x:c>
      <x:c r="B85" s="47" t="str">
        <x:v>GCT</x:v>
      </x:c>
      <x:c r="C85" s="47" t="n">
        <x:v>1</x:v>
      </x:c>
      <x:c r="D85" s="47" t="str">
        <x:v>Execution evidence</x:v>
      </x:c>
      <x:c r="E85" s="50" t="n">
        <x:v>46240</x:v>
      </x:c>
      <x:c r="F85" s="47" t="str">
        <x:v>Execution evidence / filing</x:v>
      </x:c>
      <x:c r="G85" s="47" t="str">
        <x:v>https://investors.gigacloudtech.com/news-releases/news-release-details/gigacloud-technology-inc-announces-second-quarter-and-six-1</x:v>
      </x:c>
      <x:c r="H85" s="39" t="str">
        <x:v>No post-launch quarterly/annual execution disclosure available by cutoff</x:v>
      </x:c>
      <x:c r="I85" s="47" t="str">
        <x:v>C</x:v>
      </x:c>
    </x:row>
    <x:row r="86">
      <x:c r="A86" s="47" t="str">
        <x:v>PDD Holdings Inc.</x:v>
      </x:c>
      <x:c r="B86" s="47" t="str">
        <x:v>PDD</x:v>
      </x:c>
      <x:c r="C86" s="47"/>
      <x:c r="D86" s="47" t="str">
        <x:v>Latest active-program screening source</x:v>
      </x:c>
      <x:c r="E86" s="50" t="n">
        <x:v>46255</x:v>
      </x:c>
      <x:c r="F86" s="47" t="str">
        <x:v>Annual / governance / IR disclosure reviewed</x:v>
      </x:c>
      <x:c r="G86" s="47" t="str">
        <x:v>https://www.sec.gov/Archives/edgar/data/1737806/000110465926050727/pdd-20251231x20f.htm</x:v>
      </x:c>
      <x:c r="H86" s="39" t="str">
        <x:v>No specific active issuer repurchase authorization identified in latest annual filing.</x:v>
      </x:c>
      <x:c r="I86" s="47" t="str">
        <x:v>B</x:v>
      </x:c>
    </x:row>
    <x:row r="87">
      <x:c r="A87" s="47" t="str">
        <x:v>BeOne Medicines Ltd</x:v>
      </x:c>
      <x:c r="B87" s="47" t="str">
        <x:v>ONC</x:v>
      </x:c>
      <x:c r="C87" s="47"/>
      <x:c r="D87" s="47" t="str">
        <x:v>Latest active-program screening source</x:v>
      </x:c>
      <x:c r="E87" s="50" t="n">
        <x:v>46255</x:v>
      </x:c>
      <x:c r="F87" s="47" t="str">
        <x:v>Annual / governance / IR disclosure reviewed</x:v>
      </x:c>
      <x:c r="G87" s="47" t="str">
        <x:v>https://www.sec.gov/Archives/edgar/data/1651308/000110465926049655/tm261479-4_def14a.htm</x:v>
      </x:c>
      <x:c r="H87" s="39" t="str">
        <x:v>No specific active economic repurchase program identified; general repurchase mandate only.</x:v>
      </x:c>
      <x:c r="I87" s="47" t="str">
        <x:v>B</x:v>
      </x:c>
    </x:row>
    <x:row r="88">
      <x:c r="A88" s="47" t="str">
        <x:v>XPeng Inc.</x:v>
      </x:c>
      <x:c r="B88" s="47" t="str">
        <x:v>XPEV</x:v>
      </x:c>
      <x:c r="C88" s="47"/>
      <x:c r="D88" s="47" t="str">
        <x:v>Latest active-program screening source</x:v>
      </x:c>
      <x:c r="E88" s="50" t="n">
        <x:v>46255</x:v>
      </x:c>
      <x:c r="F88" s="47" t="str">
        <x:v>Annual / governance / IR disclosure reviewed</x:v>
      </x:c>
      <x:c r="G88" s="47" t="str">
        <x:v>https://ir.xiaopeng.com/static-files/36bd2ef0-5b8e-4588-bfec-4ffafa1acf29</x:v>
      </x:c>
      <x:c r="H88" s="39" t="str">
        <x:v>Latest annual filing states no specific share repurchase program; general HKEX mandate excluded.</x:v>
      </x:c>
      <x:c r="I88" s="47" t="str">
        <x:v>B</x:v>
      </x:c>
    </x:row>
    <x:row r="89">
      <x:c r="A89" s="47" t="str">
        <x:v>Full Truck Alliance Co. Ltd.</x:v>
      </x:c>
      <x:c r="B89" s="47" t="str">
        <x:v>YMM</x:v>
      </x:c>
      <x:c r="C89" s="47"/>
      <x:c r="D89" s="47" t="str">
        <x:v>Latest active-program screening source</x:v>
      </x:c>
      <x:c r="E89" s="50" t="n">
        <x:v>46255</x:v>
      </x:c>
      <x:c r="F89" s="47" t="str">
        <x:v>Annual / governance / IR disclosure reviewed</x:v>
      </x:c>
      <x:c r="G89" s="47" t="str">
        <x:v>https://ir.fulltruckalliance.com/2026-03-12-Full-Truck-Alliance-Co-Ltd-Announces-Fourth-Quarter-and-Fiscal-Year-2025-Unaudited-Financial-Results</x:v>
      </x:c>
      <x:c r="H89" s="39" t="str">
        <x:v>Prior US$200m program expired 12-Mar-2026. 2026 shareholder-return framework permits potential buybacks but is not a fixed buyback authorization.</x:v>
      </x:c>
      <x:c r="I89" s="47" t="str">
        <x:v>B</x:v>
      </x:c>
    </x:row>
    <x:row r="90">
      <x:c r="A90" s="47" t="str">
        <x:v>NIO Inc.</x:v>
      </x:c>
      <x:c r="B90" s="47" t="str">
        <x:v>NIO</x:v>
      </x:c>
      <x:c r="C90" s="47"/>
      <x:c r="D90" s="47" t="str">
        <x:v>Latest active-program screening source</x:v>
      </x:c>
      <x:c r="E90" s="50" t="n">
        <x:v>46255</x:v>
      </x:c>
      <x:c r="F90" s="47" t="str">
        <x:v>Annual / governance / IR disclosure reviewed</x:v>
      </x:c>
      <x:c r="G90" s="47" t="str">
        <x:v>https://www.sec.gov/Archives/edgar/data/1736541/000110465926041765/nio-20251231x20f.htm</x:v>
      </x:c>
      <x:c r="H90" s="39" t="str">
        <x:v>No specific active issuer repurchase authorization identified in latest annual filing.</x:v>
      </x:c>
      <x:c r="I90" s="47" t="str">
        <x:v>B</x:v>
      </x:c>
    </x:row>
    <x:row r="91">
      <x:c r="A91" s="47" t="str">
        <x:v>GDS Holdings Limited</x:v>
      </x:c>
      <x:c r="B91" s="47" t="str">
        <x:v>GDS</x:v>
      </x:c>
      <x:c r="C91" s="47"/>
      <x:c r="D91" s="47" t="str">
        <x:v>Latest active-program screening source</x:v>
      </x:c>
      <x:c r="E91" s="50" t="n">
        <x:v>46255</x:v>
      </x:c>
      <x:c r="F91" s="47" t="str">
        <x:v>Annual / governance / IR disclosure reviewed</x:v>
      </x:c>
      <x:c r="G91" s="47" t="str">
        <x:v>https://www.sec.gov/Archives/edgar/data/1526125/000110465926051006/gds-20251231x20f.htm</x:v>
      </x:c>
      <x:c r="H91" s="39" t="str">
        <x:v>No specific active issuer repurchase authorization identified in latest annual filing.</x:v>
      </x:c>
      <x:c r="I91" s="47" t="str">
        <x:v>B</x:v>
      </x:c>
    </x:row>
    <x:row r="92">
      <x:c r="A92" s="47" t="str">
        <x:v>Pony AI Inc.</x:v>
      </x:c>
      <x:c r="B92" s="47" t="str">
        <x:v>PONY</x:v>
      </x:c>
      <x:c r="C92" s="47"/>
      <x:c r="D92" s="47" t="str">
        <x:v>Latest active-program screening source</x:v>
      </x:c>
      <x:c r="E92" s="50" t="n">
        <x:v>46255</x:v>
      </x:c>
      <x:c r="F92" s="47" t="str">
        <x:v>Annual / governance / IR disclosure reviewed</x:v>
      </x:c>
      <x:c r="G92" s="47" t="str">
        <x:v>https://www.sec.gov/Archives/edgar/data/1969302/000110465926046406/pony-20251231x20f.htm</x:v>
      </x:c>
      <x:c r="H92" s="39" t="str">
        <x:v>No specific active economic repurchase program identified; general HKEX repurchase mandate only.</x:v>
      </x:c>
      <x:c r="I92" s="47" t="str">
        <x:v>B</x:v>
      </x:c>
    </x:row>
    <x:row r="93">
      <x:c r="A93" s="47" t="str">
        <x:v>Kingsoft Cloud Holdings Limited</x:v>
      </x:c>
      <x:c r="B93" s="47" t="str">
        <x:v>KC</x:v>
      </x:c>
      <x:c r="C93" s="47"/>
      <x:c r="D93" s="47" t="str">
        <x:v>Latest active-program screening source</x:v>
      </x:c>
      <x:c r="E93" s="50" t="n">
        <x:v>46255</x:v>
      </x:c>
      <x:c r="F93" s="47" t="str">
        <x:v>Annual / governance / IR disclosure reviewed</x:v>
      </x:c>
      <x:c r="G93" s="47" t="str">
        <x:v>https://ksyun.gcs-web.com/static-files/1c57d35a-a3d1-48e1-ba85-501ad84500a4</x:v>
      </x:c>
      <x:c r="H93" s="39" t="str">
        <x:v>No current specific program identified; prior 2022 plan was terminated in Dec-2022. General mandate excluded.</x:v>
      </x:c>
      <x:c r="I93" s="47" t="str">
        <x:v>B</x:v>
      </x:c>
    </x:row>
    <x:row r="94">
      <x:c r="A94" s="47" t="str">
        <x:v>Zai Lab Limited</x:v>
      </x:c>
      <x:c r="B94" s="47" t="str">
        <x:v>ZLAB</x:v>
      </x:c>
      <x:c r="C94" s="47"/>
      <x:c r="D94" s="47" t="str">
        <x:v>Latest active-program screening source</x:v>
      </x:c>
      <x:c r="E94" s="50" t="n">
        <x:v>46255</x:v>
      </x:c>
      <x:c r="F94" s="47" t="str">
        <x:v>Annual / governance / IR disclosure reviewed</x:v>
      </x:c>
      <x:c r="G94" s="47" t="str">
        <x:v>https://www.sec.gov/Archives/edgar/data/1704292/000170429226000030/zlab-20260428.htm</x:v>
      </x:c>
      <x:c r="H94" s="39" t="str">
        <x:v>No specific active economic repurchase program identified; general mandate only.</x:v>
      </x:c>
      <x:c r="I94" s="47" t="str">
        <x:v>B</x:v>
      </x:c>
    </x:row>
    <x:row r="95">
      <x:c r="A95" s="47" t="str">
        <x:v>VNET Group, Inc.</x:v>
      </x:c>
      <x:c r="B95" s="47" t="str">
        <x:v>VNET</x:v>
      </x:c>
      <x:c r="C95" s="47"/>
      <x:c r="D95" s="47" t="str">
        <x:v>Latest active-program screening source</x:v>
      </x:c>
      <x:c r="E95" s="50" t="n">
        <x:v>46255</x:v>
      </x:c>
      <x:c r="F95" s="47" t="str">
        <x:v>Annual / governance / IR disclosure reviewed</x:v>
      </x:c>
      <x:c r="G95" s="47" t="str">
        <x:v>https://ir.vnet.com/</x:v>
      </x:c>
      <x:c r="H95" s="39" t="str">
        <x:v>No specific active issuer repurchase authorization identified in filings reviewed.</x:v>
      </x:c>
      <x:c r="I95" s="47" t="str">
        <x:v>B</x:v>
      </x:c>
    </x:row>
    <x:row r="96">
      <x:c r="A96" s="47" t="str">
        <x:v>Hesai Group</x:v>
      </x:c>
      <x:c r="B96" s="47" t="str">
        <x:v>HSAI</x:v>
      </x:c>
      <x:c r="C96" s="47"/>
      <x:c r="D96" s="47" t="str">
        <x:v>Latest active-program screening source</x:v>
      </x:c>
      <x:c r="E96" s="50" t="n">
        <x:v>46255</x:v>
      </x:c>
      <x:c r="F96" s="47" t="str">
        <x:v>Annual / governance / IR disclosure reviewed</x:v>
      </x:c>
      <x:c r="G96" s="47" t="str">
        <x:v>https://investor.hesaitech.com/</x:v>
      </x:c>
      <x:c r="H96" s="39" t="str">
        <x:v>No specific active economic repurchase program identified; general mandate only.</x:v>
      </x:c>
      <x:c r="I96" s="47" t="str">
        <x:v>B</x:v>
      </x:c>
    </x:row>
    <x:row r="97">
      <x:c r="A97" s="47" t="str">
        <x:v>ACM Research, Inc.</x:v>
      </x:c>
      <x:c r="B97" s="47" t="str">
        <x:v>ACMR</x:v>
      </x:c>
      <x:c r="C97" s="47"/>
      <x:c r="D97" s="47" t="str">
        <x:v>Latest active-program screening source</x:v>
      </x:c>
      <x:c r="E97" s="50" t="n">
        <x:v>46255</x:v>
      </x:c>
      <x:c r="F97" s="47" t="str">
        <x:v>Annual / governance / IR disclosure reviewed</x:v>
      </x:c>
      <x:c r="G97" s="47" t="str">
        <x:v>https://www.sec.gov/Archives/edgar/data/1680062/000162828026032842/0001628280-26-032842-index.htm</x:v>
      </x:c>
      <x:c r="H97" s="39" t="str">
        <x:v>No active parent-issuer repurchase program identified. SSE 688082 is ACM Research (Shanghai), a subsidiary, not the same listed issuer.</x:v>
      </x:c>
      <x:c r="I97" s="47" t="str">
        <x:v>B</x:v>
      </x:c>
    </x:row>
  </x:sheetData>
  <x:mergeCells>
    <x:mergeCell ref="A1:I1"/>
    <x:mergeCell ref="A2:I2"/>
  </x:mergeCells>
  <x:conditionalFormatting sqref="I5:I97">
    <x:cfRule type="expression" dxfId="11" priority="1">
      <x:formula>I5="A"</x:formula>
    </x:cfRule>
    <x:cfRule type="expression" dxfId="12" priority="2">
      <x:formula>I5="B"</x:formula>
    </x:cfRule>
    <x:cfRule type="expression" dxfId="13" priority="3">
      <x:formula>I5="C"</x:formula>
    </x:cfRule>
  </x:conditionalFormatting>
  <x:pageMargins left="0.7" right="0.7" top="0.75" bottom="0.75" header="0.3" footer="0.3"/>
  <x:tableParts count="1">
    <x:tablePart xmlns:r="http://schemas.openxmlformats.org/officeDocument/2006/relationships" r:id="Ref8acda6439b4e2d"/>
  </x:tableParts>
</x:worksheet>
</file>

<file path=xl/worksheets/sheet6.xml><?xml version="1.0" encoding="utf-8"?>
<x:worksheet xmlns:x="http://schemas.openxmlformats.org/spreadsheetml/2006/main">
  <x:sheetFormatPr defaultRowHeight="15"/>
  <x:cols>
    <x:col min="1" max="1" width="22" hidden="0" customWidth="1"/>
    <x:col min="2" max="2" width="28" hidden="0" customWidth="1"/>
    <x:col min="3" max="3" width="85" hidden="0" customWidth="1"/>
  </x:cols>
  <x:sheetData>
    <x:row r="1" ht="28" customHeight="1">
      <x:c r="A1" s="4" t="str">
        <x:v>Share Buyback Review — Methodology &amp; FX Assumptions</x:v>
      </x:c>
      <x:c r="B1" s="4"/>
      <x:c r="C1" s="4"/>
      <x:c r="D1" s="4"/>
      <x:c r="E1" s="4"/>
      <x:c r="F1" s="4"/>
    </x:row>
    <x:row r="3">
      <x:c r="A3" s="11" t="str">
        <x:v>Parameter</x:v>
      </x:c>
      <x:c r="B3" s="11" t="str">
        <x:v>Value</x:v>
      </x:c>
    </x:row>
    <x:row r="4">
      <x:c r="A4" t="str">
        <x:v>Cutoff date</x:v>
      </x:c>
      <x:c r="B4" s="16" t="n">
        <x:v>46255</x:v>
      </x:c>
    </x:row>
    <x:row r="5">
      <x:c r="A5" t="str">
        <x:v>HKD per USD</x:v>
      </x:c>
      <x:c r="B5" s="20" t="n">
        <x:v>7.8</x:v>
      </x:c>
    </x:row>
    <x:row r="6">
      <x:c r="A6" t="str">
        <x:v>RMB per USD</x:v>
      </x:c>
      <x:c r="B6" s="20" t="n">
        <x:v>6.7851</x:v>
      </x:c>
    </x:row>
    <x:row r="7">
      <x:c r="A7" t="str">
        <x:v>Currency convention</x:v>
      </x:c>
      <x:c r="B7" t="str">
        <x:v>Native currency units per US$1</x:v>
      </x:c>
    </x:row>
    <x:row r="9">
      <x:c r="A9" s="24" t="str">
        <x:v>Scope and classification rules</x:v>
      </x:c>
      <x:c r="B9" s="24"/>
      <x:c r="C9" s="24"/>
      <x:c r="D9" s="24"/>
      <x:c r="E9" s="24"/>
      <x:c r="F9" s="24"/>
    </x:row>
    <x:row r="10">
      <x:c r="A10" s="38" t="str">
        <x:v>1</x:v>
      </x:c>
      <x:c r="B10" s="39" t="str">
        <x:v>Active program</x:v>
      </x:c>
      <x:c r="C10" s="39" t="str">
        <x:v>Included only where a company-specific repurchase authorization/plan is still outstanding at the 21-Aug-2026 cutoff and has unutilized capacity or an unexpired term. The active sheet excludes completed, expired, terminated and superseded programs.</x:v>
      </x:c>
    </x:row>
    <x:row r="11">
      <x:c r="A11" s="38" t="str">
        <x:v>2</x:v>
      </x:c>
      <x:c r="B11" s="39" t="str">
        <x:v>Generic mandates</x:v>
      </x:c>
      <x:c r="C11" s="39" t="str">
        <x:v>A generic HKEX annual repurchase mandate (for example, authority to repurchase up to 10% of issued shares) is not treated as an economic buyback program unless the issuer separately announces a specific program/plan.</x:v>
      </x:c>
    </x:row>
    <x:row r="12">
      <x:c r="A12" s="38" t="str">
        <x:v>3</x:v>
      </x:c>
      <x:c r="B12" s="39" t="str">
        <x:v>Blank ≠ zero</x:v>
      </x:c>
      <x:c r="C12" s="39" t="str">
        <x:v>If a company announced a new program but had not published a later quarterly/annual execution update by the cutoff, executed amount, shares, remaining amount and completion are left blank. They are not assumed to be zero.</x:v>
      </x:c>
    </x:row>
    <x:row r="13">
      <x:c r="A13" s="38" t="str">
        <x:v>4</x:v>
      </x:c>
      <x:c r="B13" s="39" t="str">
        <x:v>Program limit</x:v>
      </x:c>
      <x:c r="C13" s="39" t="str">
        <x:v>Uses the issuer-stated authorization whenever available. QFIN is explicitly flagged because the March-2025 plan has no stated fixed board cap; US$677m is an implied economic capacity from US$227m executed + US$450m disclosed remaining.</x:v>
      </x:c>
    </x:row>
    <x:row r="14">
      <x:c r="A14" s="38" t="str">
        <x:v>5</x:v>
      </x:c>
      <x:c r="B14" s="39" t="str">
        <x:v>Multiple programs</x:v>
      </x:c>
      <x:c r="C14" s="39" t="str">
        <x:v>Where two active programs coexist, they are shown separately. Trip.com reports residual capacity partly in aggregate; per-program executed/remaining amounts are therefore intentionally blank rather than artificially allocated.</x:v>
      </x:c>
    </x:row>
    <x:row r="15">
      <x:c r="A15" s="38" t="str">
        <x:v>6</x:v>
      </x:c>
      <x:c r="B15" s="39" t="str">
        <x:v>USD conversion</x:v>
      </x:c>
      <x:c r="C15" s="39" t="str">
        <x:v>Issuer-reported USD figures are preferred. Native-currency-only figures are converted using the FX assumptions above. KANZHUN uses the 30-Jun-2026 Federal Reserve conversion rate RMB6.7851/US$; HKD cases use HK$7.80/US$.</x:v>
      </x:c>
    </x:row>
    <x:row r="16">
      <x:c r="A16" s="38" t="str">
        <x:v>7</x:v>
      </x:c>
      <x:c r="B16" s="39" t="str">
        <x:v>Share counts</x:v>
      </x:c>
      <x:c r="C16" s="39" t="str">
        <x:v>Only cumulative program-to-date share counts that can be reconciled from issuer disclosures are populated. Where the issuer reports only the latest quarter's shares or does not restate lifetime shares, the cumulative share field is left blank and explained in Notes.</x:v>
      </x:c>
    </x:row>
    <x:row r="17">
      <x:c r="A17" s="38" t="str">
        <x:v>8</x:v>
      </x:c>
      <x:c r="B17" s="39" t="str">
        <x:v>Evidence quality</x:v>
      </x:c>
      <x:c r="C17" s="39" t="str">
        <x:v>A = direct issuer/SEC disclosure with clean cumulative figures; B = calculated/inferred, aggregate allocation issue, FX conversion, or stale quantified balance; C = authorization is active but no post-launch quantified execution disclosure by the cutoff.</x:v>
      </x:c>
    </x:row>
    <x:row r="18">
      <x:c r="A18" s="38" t="str">
        <x:v>9</x:v>
      </x:c>
      <x:c r="B18" s="39" t="str">
        <x:v>Source hierarchy</x:v>
      </x:c>
      <x:c r="C18" s="39" t="str">
        <x:v>SEC filings / HKEX annual reports and issuer IR releases are primary. PR Newswire / GlobeNewswire are used where they are the issuer's own distributed release. Secondary sources are avoided for core values when primary evidence is available.</x:v>
      </x:c>
    </x:row>
    <x:row r="19">
      <x:c r="A19" s="38" t="str">
        <x:v>10</x:v>
      </x:c>
      <x:c r="B19" s="39" t="str">
        <x:v>Data freshness</x:v>
      </x:c>
      <x:c r="C19" s="39" t="str">
        <x:v>Data As Of is the date to which execution information applies; Latest Report Date is the publication/filing date. These differ for many firms and should not be confused.</x:v>
      </x:c>
    </x:row>
  </x:sheetData>
  <x:mergeCells>
    <x:mergeCell ref="A1:F1"/>
    <x:mergeCell ref="A9:F9"/>
  </x:mergeCells>
  <x:pageMargins left="0.7" right="0.7" top="0.75" bottom="0.75" header="0.3" footer="0.3"/>
</x:worksheet>
</file>